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4"/>
  </bookViews>
  <sheets>
    <sheet name="w1" sheetId="1" r:id="rId1"/>
    <sheet name="w2" sheetId="2" r:id="rId2"/>
    <sheet name="w3" sheetId="3" r:id="rId3"/>
    <sheet name="w4" sheetId="4" r:id="rId4"/>
    <sheet name="w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<sst xmlns="http://schemas.openxmlformats.org/spreadsheetml/2006/main" count="44" uniqueCount="21">
  <si>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电阻率
Ω˙m</t>
  </si>
  <si>
    <r>
      <t>密度
g/cm</t>
    </r>
    <r>
      <rPr>
        <vertAlign val="superscript"/>
        <sz val="10"/>
        <color theme="1"/>
        <rFont val="宋体"/>
        <charset val="134"/>
      </rPr>
      <t>3</t>
    </r>
  </si>
  <si>
    <t>中子
pu</t>
  </si>
  <si>
    <t>纵波时差   us/ft</t>
  </si>
  <si>
    <t>斯通利波时差   us/ft</t>
  </si>
  <si>
    <t>总
孔隙度
%</t>
  </si>
  <si>
    <t>裂缝
孔隙度
%</t>
  </si>
  <si>
    <t>成像计算裂缝孔隙度
%</t>
  </si>
  <si>
    <t>饱和度
%</t>
  </si>
  <si>
    <r>
      <rPr>
        <sz val="10"/>
        <rFont val="宋体"/>
        <charset val="134"/>
      </rPr>
      <t>密度
g/cm</t>
    </r>
    <r>
      <rPr>
        <vertAlign val="superscript"/>
        <sz val="10"/>
        <rFont val="宋体"/>
        <charset val="134"/>
      </rPr>
      <t>3</t>
    </r>
  </si>
  <si>
    <r>
      <rPr>
        <sz val="10"/>
        <rFont val="宋体"/>
        <charset val="134"/>
      </rPr>
      <t>中子
p</t>
    </r>
    <r>
      <rPr>
        <sz val="10"/>
        <rFont val="宋体"/>
        <charset val="134"/>
      </rPr>
      <t>u</t>
    </r>
  </si>
  <si>
    <t>纵波
时差   us/ft</t>
  </si>
  <si>
    <t>-</t>
  </si>
  <si>
    <t>电阻率
Ω.m</t>
  </si>
  <si>
    <r>
      <rPr>
        <sz val="10"/>
        <rFont val="宋体"/>
        <charset val="134"/>
      </rPr>
      <t>密度
g/cm</t>
    </r>
    <r>
      <rPr>
        <vertAlign val="superscript"/>
        <sz val="10"/>
        <rFont val="宋体"/>
        <charset val="134"/>
      </rPr>
      <t>3</t>
    </r>
  </si>
  <si>
    <t>中子
v/v</t>
  </si>
  <si>
    <t>声波时差
us/ft</t>
  </si>
  <si>
    <t>总孔隙度
%</t>
  </si>
  <si>
    <t xml:space="preserve">-  </t>
  </si>
  <si>
    <t xml:space="preserve">-       </t>
  </si>
  <si>
    <t xml:space="preserve">-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</si>
</sst>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vertAlign val="superscript"/>
      <sz val="10"/>
      <name val="宋体"/>
      <charset val="134"/>
    </font>
    <font>
      <vertAlign val="superscript"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  <xf numFmtId="0" fontId="27" fillId="0" borderId="0">
      <alignment vertical="center"/>
    </xf>
  </cellStyleXfs>
  <cellXfs count="35">
    <xf numFmtId="0" fontId="0" fillId="0" borderId="0" xfId="0">
      <alignment vertical="center"/>
    </xf>
    <xf numFmtId="176" fontId="1" fillId="0" borderId="1" xfId="51" applyNumberFormat="1" applyFont="1" applyBorder="1" applyAlignment="1">
      <alignment horizontal="center" vertical="center" wrapText="1"/>
    </xf>
    <xf numFmtId="176" fontId="2" fillId="0" borderId="1" xfId="51" applyNumberFormat="1" applyFont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4" fillId="0" borderId="1" xfId="51" applyNumberFormat="1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177" fontId="1" fillId="0" borderId="1" xfId="49" applyNumberFormat="1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/>
    </xf>
    <xf numFmtId="177" fontId="1" fillId="0" borderId="1" xfId="49" applyNumberFormat="1" applyFont="1" applyBorder="1" applyAlignment="1">
      <alignment horizontal="center" vertical="center"/>
    </xf>
    <xf numFmtId="176" fontId="1" fillId="0" borderId="1" xfId="50" applyNumberFormat="1" applyFont="1" applyBorder="1" applyAlignment="1">
      <alignment horizontal="center" vertical="center"/>
    </xf>
    <xf numFmtId="177" fontId="1" fillId="0" borderId="1" xfId="50" applyNumberFormat="1" applyFont="1" applyBorder="1" applyAlignment="1">
      <alignment horizontal="center" vertical="center"/>
    </xf>
    <xf numFmtId="176" fontId="1" fillId="0" borderId="2" xfId="50" applyNumberFormat="1" applyFont="1" applyBorder="1" applyAlignment="1">
      <alignment horizontal="center" vertical="center"/>
    </xf>
    <xf numFmtId="177" fontId="1" fillId="0" borderId="2" xfId="50" applyNumberFormat="1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 wrapText="1"/>
    </xf>
    <xf numFmtId="176" fontId="1" fillId="0" borderId="2" xfId="49" applyNumberFormat="1" applyFont="1" applyBorder="1" applyAlignment="1">
      <alignment horizontal="center" vertical="center" wrapText="1"/>
    </xf>
    <xf numFmtId="177" fontId="1" fillId="0" borderId="2" xfId="49" applyNumberFormat="1" applyFont="1" applyBorder="1" applyAlignment="1">
      <alignment horizontal="center" vertical="center"/>
    </xf>
    <xf numFmtId="176" fontId="1" fillId="0" borderId="2" xfId="49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0" xfId="50"/>
    <cellStyle name="常规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M25" sqref="M25"/>
    </sheetView>
  </sheetViews>
  <sheetFormatPr defaultColWidth="8.88888888888889" defaultRowHeight="14.4"/>
  <sheetData>
    <row r="1" spans="1:9">
      <c r="A1" s="21" t="s">
        <v>0</v>
      </c>
      <c r="B1" s="22" t="s">
        <v>1</v>
      </c>
      <c r="C1" s="22" t="s">
        <v>2</v>
      </c>
      <c r="D1" s="21" t="s">
        <v>3</v>
      </c>
      <c r="E1" s="21" t="s">
        <v>4</v>
      </c>
      <c r="F1" s="23" t="s">
        <v>5</v>
      </c>
      <c r="G1" s="23" t="s">
        <v>6</v>
      </c>
      <c r="H1" s="24" t="s">
        <v>7</v>
      </c>
      <c r="I1" s="23" t="s">
        <v>8</v>
      </c>
    </row>
    <row r="2" spans="1:9">
      <c r="A2" s="25"/>
      <c r="B2" s="26"/>
      <c r="C2" s="26"/>
      <c r="D2" s="25"/>
      <c r="E2" s="25"/>
      <c r="F2" s="27"/>
      <c r="G2" s="27"/>
      <c r="H2" s="28"/>
      <c r="I2" s="27"/>
    </row>
    <row r="3" spans="1:9">
      <c r="A3" s="25"/>
      <c r="B3" s="29"/>
      <c r="C3" s="29"/>
      <c r="D3" s="25"/>
      <c r="E3" s="25"/>
      <c r="F3" s="27"/>
      <c r="G3" s="27"/>
      <c r="H3" s="30"/>
      <c r="I3" s="27"/>
    </row>
    <row r="4" spans="1:9">
      <c r="A4" s="31">
        <v>182</v>
      </c>
      <c r="B4" s="32">
        <v>2.48</v>
      </c>
      <c r="C4" s="32">
        <v>7.4</v>
      </c>
      <c r="D4" s="31">
        <v>66.2</v>
      </c>
      <c r="E4" s="31">
        <v>215.2</v>
      </c>
      <c r="F4" s="31">
        <v>9.5</v>
      </c>
      <c r="G4" s="32">
        <v>0.66</v>
      </c>
      <c r="H4" s="32">
        <v>0</v>
      </c>
      <c r="I4" s="31">
        <f t="shared" ref="I4:I23" si="0">((F4-G4)*60+G4*95)/F4</f>
        <v>62.4315789473684</v>
      </c>
    </row>
    <row r="5" spans="1:9">
      <c r="A5" s="31">
        <v>16.68</v>
      </c>
      <c r="B5" s="32">
        <v>2.56</v>
      </c>
      <c r="C5" s="32">
        <v>9.2</v>
      </c>
      <c r="D5" s="31">
        <v>67.9</v>
      </c>
      <c r="E5" s="31">
        <v>211.3</v>
      </c>
      <c r="F5" s="31">
        <v>9</v>
      </c>
      <c r="G5" s="32">
        <v>0.685</v>
      </c>
      <c r="H5" s="32">
        <v>0.005</v>
      </c>
      <c r="I5" s="31">
        <f t="shared" si="0"/>
        <v>62.6638888888889</v>
      </c>
    </row>
    <row r="6" spans="1:9">
      <c r="A6" s="31">
        <v>98.8</v>
      </c>
      <c r="B6" s="32">
        <v>2.61</v>
      </c>
      <c r="C6" s="32">
        <v>4.1</v>
      </c>
      <c r="D6" s="31">
        <v>58.9</v>
      </c>
      <c r="E6" s="31">
        <v>209.3</v>
      </c>
      <c r="F6" s="31">
        <v>3.6</v>
      </c>
      <c r="G6" s="32">
        <v>0.298</v>
      </c>
      <c r="H6" s="32">
        <v>0.28</v>
      </c>
      <c r="I6" s="31">
        <f t="shared" si="0"/>
        <v>62.8972222222222</v>
      </c>
    </row>
    <row r="7" spans="1:9">
      <c r="A7" s="31">
        <v>277.84</v>
      </c>
      <c r="B7" s="32">
        <v>2.64</v>
      </c>
      <c r="C7" s="32">
        <v>3.1</v>
      </c>
      <c r="D7" s="31">
        <v>56</v>
      </c>
      <c r="E7" s="31">
        <v>207</v>
      </c>
      <c r="F7" s="31">
        <v>2.4</v>
      </c>
      <c r="G7" s="32">
        <v>0.103</v>
      </c>
      <c r="H7" s="32">
        <v>0.27</v>
      </c>
      <c r="I7" s="31">
        <f t="shared" si="0"/>
        <v>61.5020833333333</v>
      </c>
    </row>
    <row r="8" spans="1:9">
      <c r="A8" s="31">
        <v>112.09</v>
      </c>
      <c r="B8" s="32">
        <v>2.64</v>
      </c>
      <c r="C8" s="32">
        <v>4.3</v>
      </c>
      <c r="D8" s="31">
        <v>59.4</v>
      </c>
      <c r="E8" s="31">
        <v>211.3</v>
      </c>
      <c r="F8" s="31">
        <v>3.3</v>
      </c>
      <c r="G8" s="32">
        <v>0.294</v>
      </c>
      <c r="H8" s="32">
        <v>0.5</v>
      </c>
      <c r="I8" s="31">
        <f t="shared" si="0"/>
        <v>63.1181818181818</v>
      </c>
    </row>
    <row r="9" spans="1:9">
      <c r="A9" s="31">
        <v>174.76</v>
      </c>
      <c r="B9" s="32">
        <v>2.66</v>
      </c>
      <c r="C9" s="32">
        <v>5</v>
      </c>
      <c r="D9" s="31">
        <v>57.7</v>
      </c>
      <c r="E9" s="31">
        <v>211.4</v>
      </c>
      <c r="F9" s="31">
        <v>3.7</v>
      </c>
      <c r="G9" s="32">
        <v>0.214</v>
      </c>
      <c r="H9" s="32">
        <v>0.2</v>
      </c>
      <c r="I9" s="31">
        <f t="shared" si="0"/>
        <v>62.0243243243243</v>
      </c>
    </row>
    <row r="10" spans="1:9">
      <c r="A10" s="31">
        <v>286.56</v>
      </c>
      <c r="B10" s="32">
        <v>2.65</v>
      </c>
      <c r="C10" s="32">
        <v>3.5</v>
      </c>
      <c r="D10" s="31">
        <v>56.7</v>
      </c>
      <c r="E10" s="31">
        <v>209.1</v>
      </c>
      <c r="F10" s="31">
        <v>2.6</v>
      </c>
      <c r="G10" s="32">
        <v>0.093</v>
      </c>
      <c r="H10" s="32">
        <v>0.205</v>
      </c>
      <c r="I10" s="31">
        <f t="shared" si="0"/>
        <v>61.2519230769231</v>
      </c>
    </row>
    <row r="11" spans="1:9">
      <c r="A11" s="31">
        <v>209.05</v>
      </c>
      <c r="B11" s="32">
        <v>2.62</v>
      </c>
      <c r="C11" s="32">
        <v>3.2</v>
      </c>
      <c r="D11" s="31">
        <v>58.7</v>
      </c>
      <c r="E11" s="31">
        <v>211.7</v>
      </c>
      <c r="F11" s="31">
        <v>2.3</v>
      </c>
      <c r="G11" s="32">
        <v>0.19</v>
      </c>
      <c r="H11" s="32">
        <v>0.23</v>
      </c>
      <c r="I11" s="31">
        <f t="shared" si="0"/>
        <v>62.8913043478261</v>
      </c>
    </row>
    <row r="12" spans="1:9">
      <c r="A12" s="31">
        <v>211.29</v>
      </c>
      <c r="B12" s="32">
        <v>2.66</v>
      </c>
      <c r="C12" s="32">
        <v>3.9</v>
      </c>
      <c r="D12" s="31">
        <v>57.8</v>
      </c>
      <c r="E12" s="31">
        <v>210</v>
      </c>
      <c r="F12" s="31">
        <v>2.5</v>
      </c>
      <c r="G12" s="32">
        <v>0.071</v>
      </c>
      <c r="H12" s="32">
        <v>0.33</v>
      </c>
      <c r="I12" s="31">
        <f t="shared" si="0"/>
        <v>60.994</v>
      </c>
    </row>
    <row r="13" spans="1:9">
      <c r="A13" s="31">
        <v>218.76</v>
      </c>
      <c r="B13" s="32">
        <v>2.61</v>
      </c>
      <c r="C13" s="32">
        <v>3.4</v>
      </c>
      <c r="D13" s="31">
        <v>57.6</v>
      </c>
      <c r="E13" s="31">
        <v>211.9</v>
      </c>
      <c r="F13" s="31">
        <v>3.3</v>
      </c>
      <c r="G13" s="32">
        <v>0.287</v>
      </c>
      <c r="H13" s="32">
        <v>0.22</v>
      </c>
      <c r="I13" s="31">
        <f t="shared" si="0"/>
        <v>63.0439393939394</v>
      </c>
    </row>
    <row r="14" spans="1:9">
      <c r="A14" s="31">
        <v>173.56</v>
      </c>
      <c r="B14" s="32">
        <v>2.64</v>
      </c>
      <c r="C14" s="32">
        <v>3.1</v>
      </c>
      <c r="D14" s="31">
        <v>57.6</v>
      </c>
      <c r="E14" s="31">
        <v>209.5</v>
      </c>
      <c r="F14" s="31">
        <v>2.6</v>
      </c>
      <c r="G14" s="32">
        <v>0.202</v>
      </c>
      <c r="H14" s="32">
        <v>0.225</v>
      </c>
      <c r="I14" s="31">
        <f t="shared" si="0"/>
        <v>62.7192307692308</v>
      </c>
    </row>
    <row r="15" spans="1:9">
      <c r="A15" s="31">
        <v>125.36</v>
      </c>
      <c r="B15" s="32">
        <v>2.58</v>
      </c>
      <c r="C15" s="32">
        <v>7.9</v>
      </c>
      <c r="D15" s="31">
        <v>63.4</v>
      </c>
      <c r="E15" s="31">
        <v>214.2</v>
      </c>
      <c r="F15" s="31">
        <v>7.5</v>
      </c>
      <c r="G15" s="32">
        <v>0.575</v>
      </c>
      <c r="H15" s="32">
        <v>0.175</v>
      </c>
      <c r="I15" s="31">
        <f t="shared" si="0"/>
        <v>62.6833333333333</v>
      </c>
    </row>
    <row r="16" spans="1:9">
      <c r="A16" s="31">
        <v>317.42</v>
      </c>
      <c r="B16" s="32">
        <v>2.64</v>
      </c>
      <c r="C16" s="32">
        <v>1.9</v>
      </c>
      <c r="D16" s="31">
        <v>56.2</v>
      </c>
      <c r="E16" s="31">
        <v>208.6</v>
      </c>
      <c r="F16" s="31">
        <v>1.8</v>
      </c>
      <c r="G16" s="32">
        <v>0.17</v>
      </c>
      <c r="H16" s="32">
        <v>0.195</v>
      </c>
      <c r="I16" s="31">
        <f t="shared" si="0"/>
        <v>63.3055555555556</v>
      </c>
    </row>
    <row r="17" spans="1:9">
      <c r="A17" s="31">
        <v>605</v>
      </c>
      <c r="B17" s="32">
        <v>2.67</v>
      </c>
      <c r="C17" s="32">
        <v>3.7</v>
      </c>
      <c r="D17" s="31">
        <v>53.9</v>
      </c>
      <c r="E17" s="31">
        <v>206.7</v>
      </c>
      <c r="F17" s="31">
        <v>1.6</v>
      </c>
      <c r="G17" s="32">
        <v>0</v>
      </c>
      <c r="H17" s="32">
        <v>0.15</v>
      </c>
      <c r="I17" s="31">
        <f t="shared" si="0"/>
        <v>60</v>
      </c>
    </row>
    <row r="18" spans="1:9">
      <c r="A18" s="31">
        <v>166.32</v>
      </c>
      <c r="B18" s="32">
        <v>2.65</v>
      </c>
      <c r="C18" s="32">
        <v>6.6</v>
      </c>
      <c r="D18" s="31">
        <v>58.6</v>
      </c>
      <c r="E18" s="31">
        <v>210.9</v>
      </c>
      <c r="F18" s="31">
        <v>4.3</v>
      </c>
      <c r="G18" s="32">
        <v>0.088</v>
      </c>
      <c r="H18" s="32">
        <v>0.36</v>
      </c>
      <c r="I18" s="31">
        <f t="shared" si="0"/>
        <v>60.7162790697674</v>
      </c>
    </row>
    <row r="19" spans="1:9">
      <c r="A19" s="31">
        <v>338.91</v>
      </c>
      <c r="B19" s="32">
        <v>2.66</v>
      </c>
      <c r="C19" s="32">
        <v>6.8</v>
      </c>
      <c r="D19" s="31">
        <v>56.8</v>
      </c>
      <c r="E19" s="31">
        <v>210.6</v>
      </c>
      <c r="F19" s="31">
        <v>3.8</v>
      </c>
      <c r="G19" s="32">
        <v>0.112</v>
      </c>
      <c r="H19" s="32">
        <v>0.22</v>
      </c>
      <c r="I19" s="31">
        <f t="shared" si="0"/>
        <v>61.0315789473684</v>
      </c>
    </row>
    <row r="20" spans="1:9">
      <c r="A20" s="31">
        <v>208.54</v>
      </c>
      <c r="B20" s="32">
        <v>2.66</v>
      </c>
      <c r="C20" s="32">
        <v>6.8</v>
      </c>
      <c r="D20" s="31">
        <v>58</v>
      </c>
      <c r="E20" s="31">
        <v>210.5</v>
      </c>
      <c r="F20" s="31">
        <v>4.1</v>
      </c>
      <c r="G20" s="32">
        <v>0.134</v>
      </c>
      <c r="H20" s="32">
        <v>0.225</v>
      </c>
      <c r="I20" s="31">
        <f t="shared" si="0"/>
        <v>61.1439024390244</v>
      </c>
    </row>
    <row r="21" spans="1:9">
      <c r="A21" s="31">
        <v>200.17</v>
      </c>
      <c r="B21" s="32">
        <v>2.64</v>
      </c>
      <c r="C21" s="32">
        <v>8.2</v>
      </c>
      <c r="D21" s="31">
        <v>60.3</v>
      </c>
      <c r="E21" s="31">
        <v>212.7</v>
      </c>
      <c r="F21" s="31">
        <v>5.6</v>
      </c>
      <c r="G21" s="32">
        <v>0.216</v>
      </c>
      <c r="H21" s="32">
        <v>0.335</v>
      </c>
      <c r="I21" s="31">
        <f t="shared" si="0"/>
        <v>61.35</v>
      </c>
    </row>
    <row r="22" spans="1:9">
      <c r="A22" s="31">
        <v>171.1</v>
      </c>
      <c r="B22" s="32">
        <v>2.63</v>
      </c>
      <c r="C22" s="32">
        <v>7.6</v>
      </c>
      <c r="D22" s="31">
        <v>61.1</v>
      </c>
      <c r="E22" s="31">
        <v>212.6</v>
      </c>
      <c r="F22" s="31">
        <v>5.6</v>
      </c>
      <c r="G22" s="32">
        <v>0.481</v>
      </c>
      <c r="H22" s="32">
        <v>0.3</v>
      </c>
      <c r="I22" s="31">
        <f t="shared" si="0"/>
        <v>63.00625</v>
      </c>
    </row>
    <row r="23" ht="15.15" spans="1:9">
      <c r="A23" s="33">
        <v>322.25</v>
      </c>
      <c r="B23" s="34">
        <v>2.63</v>
      </c>
      <c r="C23" s="34">
        <v>8.6</v>
      </c>
      <c r="D23" s="33">
        <v>60.6</v>
      </c>
      <c r="E23" s="33">
        <v>211.7</v>
      </c>
      <c r="F23" s="33">
        <v>6</v>
      </c>
      <c r="G23" s="34">
        <v>0.32</v>
      </c>
      <c r="H23" s="34">
        <v>0.31</v>
      </c>
      <c r="I23" s="33">
        <f t="shared" si="0"/>
        <v>61.8666666666667</v>
      </c>
    </row>
  </sheetData>
  <mergeCells count="9">
    <mergeCell ref="A1:A3"/>
    <mergeCell ref="B1:B3"/>
    <mergeCell ref="C1:C3"/>
    <mergeCell ref="D1:D3"/>
    <mergeCell ref="E1:E3"/>
    <mergeCell ref="F1:F3"/>
    <mergeCell ref="G1:G3"/>
    <mergeCell ref="H1:H3"/>
    <mergeCell ref="I1:I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selection activeCell="B25" sqref="B25:E45"/>
    </sheetView>
  </sheetViews>
  <sheetFormatPr defaultColWidth="8.88888888888889" defaultRowHeight="14.4" outlineLevelCol="7"/>
  <sheetData>
    <row r="1" spans="1:8">
      <c r="A1" s="15" t="s">
        <v>0</v>
      </c>
      <c r="B1" s="15" t="s">
        <v>9</v>
      </c>
      <c r="C1" s="15" t="s">
        <v>2</v>
      </c>
      <c r="D1" s="15" t="s">
        <v>3</v>
      </c>
      <c r="E1" s="15" t="s">
        <v>4</v>
      </c>
      <c r="F1" s="16" t="s">
        <v>5</v>
      </c>
      <c r="G1" s="16" t="s">
        <v>6</v>
      </c>
      <c r="H1" s="16" t="s">
        <v>8</v>
      </c>
    </row>
    <row r="2" spans="1:8">
      <c r="A2" s="6"/>
      <c r="B2" s="6"/>
      <c r="C2" s="6"/>
      <c r="D2" s="6"/>
      <c r="E2" s="6"/>
      <c r="F2" s="8"/>
      <c r="G2" s="8"/>
      <c r="H2" s="8"/>
    </row>
    <row r="3" spans="1:8">
      <c r="A3" s="6"/>
      <c r="B3" s="6"/>
      <c r="C3" s="6"/>
      <c r="D3" s="6"/>
      <c r="E3" s="6"/>
      <c r="F3" s="8"/>
      <c r="G3" s="8"/>
      <c r="H3" s="8"/>
    </row>
    <row r="4" spans="1:8">
      <c r="A4" s="17">
        <v>47.98</v>
      </c>
      <c r="B4" s="10">
        <v>2.51</v>
      </c>
      <c r="C4" s="10">
        <v>5.5</v>
      </c>
      <c r="D4" s="9">
        <v>63.6</v>
      </c>
      <c r="E4" s="9">
        <v>223.7</v>
      </c>
      <c r="F4" s="17">
        <v>8.8</v>
      </c>
      <c r="G4" s="10">
        <v>1.173</v>
      </c>
      <c r="H4" s="9">
        <f t="shared" ref="H4:H45" si="0">((F4-G4)*61.7+G4*95)/F4</f>
        <v>66.1387386363636</v>
      </c>
    </row>
    <row r="5" spans="1:8">
      <c r="A5" s="17">
        <v>158.62</v>
      </c>
      <c r="B5" s="10">
        <v>2.61</v>
      </c>
      <c r="C5" s="10">
        <v>2.6</v>
      </c>
      <c r="D5" s="9">
        <v>56.1</v>
      </c>
      <c r="E5" s="9">
        <v>222.3</v>
      </c>
      <c r="F5" s="17">
        <v>3.2</v>
      </c>
      <c r="G5" s="10">
        <v>0.381</v>
      </c>
      <c r="H5" s="9">
        <f t="shared" si="0"/>
        <v>65.66478125</v>
      </c>
    </row>
    <row r="6" spans="1:8">
      <c r="A6" s="17">
        <v>268.24</v>
      </c>
      <c r="B6" s="10">
        <v>2.6</v>
      </c>
      <c r="C6" s="10">
        <v>2.6</v>
      </c>
      <c r="D6" s="9">
        <v>54.7</v>
      </c>
      <c r="E6" s="9">
        <v>222</v>
      </c>
      <c r="F6" s="17">
        <v>3</v>
      </c>
      <c r="G6" s="10">
        <v>0.283</v>
      </c>
      <c r="H6" s="9">
        <f t="shared" si="0"/>
        <v>64.8413</v>
      </c>
    </row>
    <row r="7" spans="1:8">
      <c r="A7" s="17">
        <v>147.17</v>
      </c>
      <c r="B7" s="10">
        <v>2.61</v>
      </c>
      <c r="C7" s="10">
        <v>3.4</v>
      </c>
      <c r="D7" s="9">
        <v>56.1</v>
      </c>
      <c r="E7" s="9">
        <v>220.7</v>
      </c>
      <c r="F7" s="17">
        <v>3.5</v>
      </c>
      <c r="G7" s="10">
        <v>0.604</v>
      </c>
      <c r="H7" s="9">
        <f t="shared" si="0"/>
        <v>67.4466285714286</v>
      </c>
    </row>
    <row r="8" spans="1:8">
      <c r="A8" s="17">
        <v>93.57</v>
      </c>
      <c r="B8" s="10">
        <v>2.63</v>
      </c>
      <c r="C8" s="10">
        <v>3.1</v>
      </c>
      <c r="D8" s="9">
        <v>55.4</v>
      </c>
      <c r="E8" s="9">
        <v>220.2</v>
      </c>
      <c r="F8" s="17">
        <v>2.9</v>
      </c>
      <c r="G8" s="10">
        <v>0.82</v>
      </c>
      <c r="H8" s="9">
        <f t="shared" si="0"/>
        <v>71.1158620689655</v>
      </c>
    </row>
    <row r="9" spans="1:8">
      <c r="A9" s="17">
        <v>112.17</v>
      </c>
      <c r="B9" s="10">
        <v>2.66</v>
      </c>
      <c r="C9" s="10">
        <v>3.8</v>
      </c>
      <c r="D9" s="9">
        <v>54.5</v>
      </c>
      <c r="E9" s="9">
        <v>220.1</v>
      </c>
      <c r="F9" s="17">
        <v>2.6</v>
      </c>
      <c r="G9" s="10">
        <v>0.169</v>
      </c>
      <c r="H9" s="9">
        <f t="shared" si="0"/>
        <v>63.8645</v>
      </c>
    </row>
    <row r="10" spans="1:8">
      <c r="A10" s="17">
        <v>159.72</v>
      </c>
      <c r="B10" s="10">
        <v>2.66</v>
      </c>
      <c r="C10" s="10">
        <v>2.6</v>
      </c>
      <c r="D10" s="9">
        <v>54.5</v>
      </c>
      <c r="E10" s="9">
        <v>220.2</v>
      </c>
      <c r="F10" s="17">
        <v>2.1</v>
      </c>
      <c r="G10" s="10">
        <v>0.163</v>
      </c>
      <c r="H10" s="9">
        <f t="shared" si="0"/>
        <v>64.2847142857143</v>
      </c>
    </row>
    <row r="11" spans="1:8">
      <c r="A11" s="17">
        <v>157.51</v>
      </c>
      <c r="B11" s="10">
        <v>2.63</v>
      </c>
      <c r="C11" s="10">
        <v>4.3</v>
      </c>
      <c r="D11" s="9">
        <v>56.7</v>
      </c>
      <c r="E11" s="9">
        <v>220.8</v>
      </c>
      <c r="F11" s="17">
        <v>3.8</v>
      </c>
      <c r="G11" s="10">
        <v>0.044</v>
      </c>
      <c r="H11" s="9">
        <f t="shared" si="0"/>
        <v>62.0855789473684</v>
      </c>
    </row>
    <row r="12" spans="1:8">
      <c r="A12" s="17">
        <v>129.49</v>
      </c>
      <c r="B12" s="10">
        <v>2.64</v>
      </c>
      <c r="C12" s="10">
        <v>3.7</v>
      </c>
      <c r="D12" s="9">
        <v>53.2</v>
      </c>
      <c r="E12" s="9">
        <v>221.1</v>
      </c>
      <c r="F12" s="17">
        <v>2.6</v>
      </c>
      <c r="G12" s="10">
        <v>0.356</v>
      </c>
      <c r="H12" s="9">
        <f t="shared" si="0"/>
        <v>66.2595384615385</v>
      </c>
    </row>
    <row r="13" spans="1:8">
      <c r="A13" s="17">
        <v>104.25</v>
      </c>
      <c r="B13" s="10">
        <v>2.59</v>
      </c>
      <c r="C13" s="10">
        <v>2.4</v>
      </c>
      <c r="D13" s="9">
        <v>54.1</v>
      </c>
      <c r="E13" s="9">
        <v>221.6</v>
      </c>
      <c r="F13" s="17">
        <v>2.9</v>
      </c>
      <c r="G13" s="10">
        <v>0.556</v>
      </c>
      <c r="H13" s="9">
        <f t="shared" si="0"/>
        <v>68.0844137931035</v>
      </c>
    </row>
    <row r="14" spans="1:8">
      <c r="A14" s="17">
        <v>267.63</v>
      </c>
      <c r="B14" s="10">
        <v>2.64</v>
      </c>
      <c r="C14" s="10">
        <v>3.1</v>
      </c>
      <c r="D14" s="9">
        <v>54.2</v>
      </c>
      <c r="E14" s="9">
        <v>220</v>
      </c>
      <c r="F14" s="17">
        <v>2.3</v>
      </c>
      <c r="G14" s="10">
        <v>0.258</v>
      </c>
      <c r="H14" s="9">
        <f t="shared" si="0"/>
        <v>65.4353913043478</v>
      </c>
    </row>
    <row r="15" spans="1:8">
      <c r="A15" s="17">
        <v>205.1</v>
      </c>
      <c r="B15" s="10">
        <v>2.58</v>
      </c>
      <c r="C15" s="10">
        <v>4.1</v>
      </c>
      <c r="D15" s="9">
        <v>54.9</v>
      </c>
      <c r="E15" s="9">
        <v>220.6</v>
      </c>
      <c r="F15" s="17">
        <v>3</v>
      </c>
      <c r="G15" s="10">
        <v>0.434</v>
      </c>
      <c r="H15" s="9">
        <f t="shared" si="0"/>
        <v>66.5174</v>
      </c>
    </row>
    <row r="16" spans="1:8">
      <c r="A16" s="17">
        <v>404.2</v>
      </c>
      <c r="B16" s="10">
        <v>2.62</v>
      </c>
      <c r="C16" s="10">
        <v>3.2</v>
      </c>
      <c r="D16" s="9">
        <v>53</v>
      </c>
      <c r="E16" s="9">
        <v>219.5</v>
      </c>
      <c r="F16" s="17">
        <v>2.5</v>
      </c>
      <c r="G16" s="10">
        <v>0.399</v>
      </c>
      <c r="H16" s="9">
        <f t="shared" si="0"/>
        <v>67.01468</v>
      </c>
    </row>
    <row r="17" spans="1:8">
      <c r="A17" s="17">
        <v>732.7</v>
      </c>
      <c r="B17" s="10">
        <v>2.55</v>
      </c>
      <c r="C17" s="10">
        <v>2.3</v>
      </c>
      <c r="D17" s="9">
        <v>53.8</v>
      </c>
      <c r="E17" s="9">
        <v>220.2</v>
      </c>
      <c r="F17" s="17">
        <v>3</v>
      </c>
      <c r="G17" s="10">
        <v>0.11</v>
      </c>
      <c r="H17" s="9">
        <f t="shared" si="0"/>
        <v>62.921</v>
      </c>
    </row>
    <row r="18" spans="1:8">
      <c r="A18" s="17">
        <v>8969</v>
      </c>
      <c r="B18" s="10">
        <v>2.65</v>
      </c>
      <c r="C18" s="10">
        <v>1</v>
      </c>
      <c r="D18" s="9">
        <v>51.4</v>
      </c>
      <c r="E18" s="9">
        <v>219.1</v>
      </c>
      <c r="F18" s="17">
        <v>0.9</v>
      </c>
      <c r="G18" s="10">
        <v>0.03</v>
      </c>
      <c r="H18" s="9">
        <f t="shared" si="0"/>
        <v>62.81</v>
      </c>
    </row>
    <row r="19" spans="1:8">
      <c r="A19" s="17">
        <v>3822.21</v>
      </c>
      <c r="B19" s="10">
        <v>2.65</v>
      </c>
      <c r="C19" s="10">
        <v>3.1</v>
      </c>
      <c r="D19" s="9">
        <v>52.5</v>
      </c>
      <c r="E19" s="9">
        <v>218.7</v>
      </c>
      <c r="F19" s="17">
        <v>1.9</v>
      </c>
      <c r="G19" s="10">
        <v>0.06</v>
      </c>
      <c r="H19" s="9">
        <f t="shared" si="0"/>
        <v>62.7515789473684</v>
      </c>
    </row>
    <row r="20" spans="1:8">
      <c r="A20" s="17">
        <v>11264.09</v>
      </c>
      <c r="B20" s="10">
        <v>2.66</v>
      </c>
      <c r="C20" s="10">
        <v>1.1</v>
      </c>
      <c r="D20" s="9">
        <v>51.1</v>
      </c>
      <c r="E20" s="9">
        <v>218.5</v>
      </c>
      <c r="F20" s="17">
        <v>0.8</v>
      </c>
      <c r="G20" s="10">
        <v>0.04</v>
      </c>
      <c r="H20" s="9">
        <f t="shared" si="0"/>
        <v>63.365</v>
      </c>
    </row>
    <row r="21" spans="1:8">
      <c r="A21" s="17">
        <v>2522.2</v>
      </c>
      <c r="B21" s="10">
        <v>2.61</v>
      </c>
      <c r="C21" s="10">
        <v>0.7</v>
      </c>
      <c r="D21" s="9">
        <v>53.7</v>
      </c>
      <c r="E21" s="9">
        <v>220.6</v>
      </c>
      <c r="F21" s="17">
        <v>2</v>
      </c>
      <c r="G21" s="10">
        <v>0.156</v>
      </c>
      <c r="H21" s="9">
        <f t="shared" si="0"/>
        <v>64.2974</v>
      </c>
    </row>
    <row r="22" spans="1:8">
      <c r="A22" s="17">
        <v>3779.38</v>
      </c>
      <c r="B22" s="10">
        <v>2.63</v>
      </c>
      <c r="C22" s="10">
        <v>1.4</v>
      </c>
      <c r="D22" s="9">
        <v>52.3</v>
      </c>
      <c r="E22" s="9">
        <v>219.4</v>
      </c>
      <c r="F22" s="17">
        <v>0.9</v>
      </c>
      <c r="G22" s="10">
        <v>0.18</v>
      </c>
      <c r="H22" s="9">
        <f t="shared" si="0"/>
        <v>68.36</v>
      </c>
    </row>
    <row r="23" spans="1:8">
      <c r="A23" s="17">
        <v>915.4</v>
      </c>
      <c r="B23" s="10">
        <v>2.49</v>
      </c>
      <c r="C23" s="10">
        <v>2.7</v>
      </c>
      <c r="D23" s="9">
        <v>55.3</v>
      </c>
      <c r="E23" s="9">
        <v>222.5</v>
      </c>
      <c r="F23" s="17">
        <v>2.7</v>
      </c>
      <c r="G23" s="10">
        <v>0.421</v>
      </c>
      <c r="H23" s="9">
        <f t="shared" si="0"/>
        <v>66.8923333333333</v>
      </c>
    </row>
    <row r="24" ht="15.15" spans="1:8">
      <c r="A24" s="18">
        <v>238.5</v>
      </c>
      <c r="B24" s="19">
        <v>2.65</v>
      </c>
      <c r="C24" s="19">
        <v>1.9</v>
      </c>
      <c r="D24" s="20">
        <v>53</v>
      </c>
      <c r="E24" s="20">
        <v>218.7</v>
      </c>
      <c r="F24" s="18">
        <v>2</v>
      </c>
      <c r="G24" s="19">
        <v>0.049</v>
      </c>
      <c r="H24" s="20">
        <f t="shared" si="0"/>
        <v>62.51585</v>
      </c>
    </row>
    <row r="25" spans="1:8">
      <c r="A25" s="17">
        <v>356.1</v>
      </c>
      <c r="B25" s="10">
        <v>2.63</v>
      </c>
      <c r="C25" s="10">
        <v>1.1</v>
      </c>
      <c r="D25" s="9">
        <v>53.1</v>
      </c>
      <c r="E25" s="9">
        <v>219</v>
      </c>
      <c r="F25" s="17">
        <v>2</v>
      </c>
      <c r="G25" s="10">
        <v>0.139</v>
      </c>
      <c r="H25" s="9">
        <f t="shared" si="0"/>
        <v>64.01435</v>
      </c>
    </row>
    <row r="26" spans="1:8">
      <c r="A26" s="17">
        <v>329.32</v>
      </c>
      <c r="B26" s="10">
        <v>2.6</v>
      </c>
      <c r="C26" s="10">
        <v>3.6</v>
      </c>
      <c r="D26" s="9">
        <v>55.7</v>
      </c>
      <c r="E26" s="9">
        <v>221.5</v>
      </c>
      <c r="F26" s="17">
        <v>3.7</v>
      </c>
      <c r="G26" s="10">
        <v>0.353</v>
      </c>
      <c r="H26" s="9">
        <f t="shared" si="0"/>
        <v>64.877</v>
      </c>
    </row>
    <row r="27" spans="1:8">
      <c r="A27" s="17">
        <v>12108.9</v>
      </c>
      <c r="B27" s="10">
        <v>2.61</v>
      </c>
      <c r="C27" s="10">
        <v>3.4</v>
      </c>
      <c r="D27" s="9">
        <v>54.9</v>
      </c>
      <c r="E27" s="9">
        <v>219.3</v>
      </c>
      <c r="F27" s="17">
        <v>2.2</v>
      </c>
      <c r="G27" s="10">
        <v>0.12</v>
      </c>
      <c r="H27" s="9">
        <f t="shared" si="0"/>
        <v>63.5163636363636</v>
      </c>
    </row>
    <row r="28" spans="1:8">
      <c r="A28" s="17">
        <v>475.5</v>
      </c>
      <c r="B28" s="10">
        <v>2.64</v>
      </c>
      <c r="C28" s="10">
        <v>2.7</v>
      </c>
      <c r="D28" s="9">
        <v>52.9</v>
      </c>
      <c r="E28" s="9">
        <v>219</v>
      </c>
      <c r="F28" s="17">
        <v>2.1</v>
      </c>
      <c r="G28" s="10">
        <v>0.103</v>
      </c>
      <c r="H28" s="9">
        <f t="shared" si="0"/>
        <v>63.3332857142857</v>
      </c>
    </row>
    <row r="29" spans="1:8">
      <c r="A29" s="17">
        <v>2360.12</v>
      </c>
      <c r="B29" s="10">
        <v>2.61</v>
      </c>
      <c r="C29" s="10">
        <v>1.5</v>
      </c>
      <c r="D29" s="9">
        <v>52.7</v>
      </c>
      <c r="E29" s="9">
        <v>218.8</v>
      </c>
      <c r="F29" s="17">
        <v>1.1</v>
      </c>
      <c r="G29" s="10">
        <v>0.26</v>
      </c>
      <c r="H29" s="9">
        <f t="shared" si="0"/>
        <v>69.5709090909091</v>
      </c>
    </row>
    <row r="30" spans="1:8">
      <c r="A30" s="17">
        <v>501.7</v>
      </c>
      <c r="B30" s="10">
        <v>2.59</v>
      </c>
      <c r="C30" s="10">
        <v>1.9</v>
      </c>
      <c r="D30" s="9">
        <v>53.2</v>
      </c>
      <c r="E30" s="9">
        <v>220.8</v>
      </c>
      <c r="F30" s="17">
        <v>2.5</v>
      </c>
      <c r="G30" s="10">
        <v>0.406</v>
      </c>
      <c r="H30" s="9">
        <f t="shared" si="0"/>
        <v>67.10792</v>
      </c>
    </row>
    <row r="31" spans="1:8">
      <c r="A31" s="17">
        <v>912.8</v>
      </c>
      <c r="B31" s="10">
        <v>2.61</v>
      </c>
      <c r="C31" s="10">
        <v>3.4</v>
      </c>
      <c r="D31" s="9">
        <v>54.9</v>
      </c>
      <c r="E31" s="9">
        <v>222.7</v>
      </c>
      <c r="F31" s="17">
        <v>2.8</v>
      </c>
      <c r="G31" s="10">
        <v>0.567</v>
      </c>
      <c r="H31" s="9">
        <f t="shared" si="0"/>
        <v>68.44325</v>
      </c>
    </row>
    <row r="32" spans="1:8">
      <c r="A32" s="17">
        <v>362.6</v>
      </c>
      <c r="B32" s="10">
        <v>2.61</v>
      </c>
      <c r="C32" s="10">
        <v>3.5</v>
      </c>
      <c r="D32" s="9">
        <v>55.9</v>
      </c>
      <c r="E32" s="9">
        <v>220.5</v>
      </c>
      <c r="F32" s="17">
        <v>2.7</v>
      </c>
      <c r="G32" s="10">
        <v>0.413</v>
      </c>
      <c r="H32" s="9">
        <f t="shared" si="0"/>
        <v>66.7936666666667</v>
      </c>
    </row>
    <row r="33" spans="1:8">
      <c r="A33" s="17">
        <v>136.11</v>
      </c>
      <c r="B33" s="10">
        <v>2.6</v>
      </c>
      <c r="C33" s="10">
        <v>4.6</v>
      </c>
      <c r="D33" s="9">
        <v>56.2</v>
      </c>
      <c r="E33" s="9">
        <v>222.8</v>
      </c>
      <c r="F33" s="17">
        <v>4.2</v>
      </c>
      <c r="G33" s="10">
        <v>0.742</v>
      </c>
      <c r="H33" s="9">
        <f t="shared" si="0"/>
        <v>67.583</v>
      </c>
    </row>
    <row r="34" spans="1:8">
      <c r="A34" s="17">
        <v>181.82</v>
      </c>
      <c r="B34" s="10">
        <v>2.57</v>
      </c>
      <c r="C34" s="10">
        <v>2.3</v>
      </c>
      <c r="D34" s="9">
        <v>56.1</v>
      </c>
      <c r="E34" s="9">
        <v>223.3</v>
      </c>
      <c r="F34" s="17">
        <v>4.1</v>
      </c>
      <c r="G34" s="10">
        <v>0.89</v>
      </c>
      <c r="H34" s="9">
        <f t="shared" si="0"/>
        <v>68.9285365853658</v>
      </c>
    </row>
    <row r="35" spans="1:8">
      <c r="A35" s="17">
        <v>66.56</v>
      </c>
      <c r="B35" s="10">
        <v>2.59</v>
      </c>
      <c r="C35" s="10">
        <v>3.8</v>
      </c>
      <c r="D35" s="9">
        <v>58</v>
      </c>
      <c r="E35" s="9">
        <v>222.1</v>
      </c>
      <c r="F35" s="17">
        <v>4.7</v>
      </c>
      <c r="G35" s="10">
        <v>0.791</v>
      </c>
      <c r="H35" s="9">
        <f t="shared" si="0"/>
        <v>67.3043191489362</v>
      </c>
    </row>
    <row r="36" spans="1:8">
      <c r="A36" s="17">
        <v>194.47</v>
      </c>
      <c r="B36" s="10">
        <v>2.59</v>
      </c>
      <c r="C36" s="10">
        <v>2.5</v>
      </c>
      <c r="D36" s="9">
        <v>53.6</v>
      </c>
      <c r="E36" s="9">
        <v>219.9</v>
      </c>
      <c r="F36" s="17">
        <v>2.9</v>
      </c>
      <c r="G36" s="10">
        <v>0.367</v>
      </c>
      <c r="H36" s="9">
        <f t="shared" si="0"/>
        <v>65.9141724137931</v>
      </c>
    </row>
    <row r="37" spans="1:8">
      <c r="A37" s="17">
        <v>121.27</v>
      </c>
      <c r="B37" s="10">
        <v>2.66</v>
      </c>
      <c r="C37" s="10">
        <v>4</v>
      </c>
      <c r="D37" s="9">
        <v>52.5</v>
      </c>
      <c r="E37" s="9">
        <v>220.5</v>
      </c>
      <c r="F37" s="17">
        <v>2.2</v>
      </c>
      <c r="G37" s="10">
        <v>0.395</v>
      </c>
      <c r="H37" s="9">
        <f t="shared" si="0"/>
        <v>67.6788636363636</v>
      </c>
    </row>
    <row r="38" spans="1:8">
      <c r="A38" s="17">
        <v>110.86</v>
      </c>
      <c r="B38" s="10">
        <v>2.58</v>
      </c>
      <c r="C38" s="10">
        <v>3.5</v>
      </c>
      <c r="D38" s="9">
        <v>55.1</v>
      </c>
      <c r="E38" s="9">
        <v>222</v>
      </c>
      <c r="F38" s="17">
        <v>3.9</v>
      </c>
      <c r="G38" s="10">
        <v>0.778</v>
      </c>
      <c r="H38" s="9">
        <f t="shared" si="0"/>
        <v>68.3429230769231</v>
      </c>
    </row>
    <row r="39" spans="1:8">
      <c r="A39" s="17">
        <v>320.21</v>
      </c>
      <c r="B39" s="10">
        <v>2.6</v>
      </c>
      <c r="C39" s="10">
        <v>4</v>
      </c>
      <c r="D39" s="9">
        <v>53.2</v>
      </c>
      <c r="E39" s="9">
        <v>221.9</v>
      </c>
      <c r="F39" s="17">
        <v>3.1</v>
      </c>
      <c r="G39" s="10">
        <v>0.364</v>
      </c>
      <c r="H39" s="9">
        <f t="shared" si="0"/>
        <v>65.610064516129</v>
      </c>
    </row>
    <row r="40" spans="1:8">
      <c r="A40" s="17">
        <v>117.73</v>
      </c>
      <c r="B40" s="10">
        <v>2.57</v>
      </c>
      <c r="C40" s="10">
        <v>5.8</v>
      </c>
      <c r="D40" s="9">
        <v>58</v>
      </c>
      <c r="E40" s="9">
        <v>224.9</v>
      </c>
      <c r="F40" s="17">
        <v>5.5</v>
      </c>
      <c r="G40" s="10">
        <v>0.64</v>
      </c>
      <c r="H40" s="9">
        <f t="shared" si="0"/>
        <v>65.5749090909091</v>
      </c>
    </row>
    <row r="41" spans="1:8">
      <c r="A41" s="17">
        <v>925.43</v>
      </c>
      <c r="B41" s="10">
        <v>2.6</v>
      </c>
      <c r="C41" s="10">
        <v>1.3</v>
      </c>
      <c r="D41" s="9">
        <v>50.6</v>
      </c>
      <c r="E41" s="9">
        <v>218.3</v>
      </c>
      <c r="F41" s="17">
        <v>1.6</v>
      </c>
      <c r="G41" s="10">
        <v>0.3</v>
      </c>
      <c r="H41" s="9">
        <f t="shared" si="0"/>
        <v>67.94375</v>
      </c>
    </row>
    <row r="42" spans="1:8">
      <c r="A42" s="17">
        <v>189.05</v>
      </c>
      <c r="B42" s="10">
        <v>2.59</v>
      </c>
      <c r="C42" s="10">
        <v>8.2</v>
      </c>
      <c r="D42" s="9">
        <v>56.7</v>
      </c>
      <c r="E42" s="9">
        <v>223.1</v>
      </c>
      <c r="F42" s="17">
        <v>5.5</v>
      </c>
      <c r="G42" s="10">
        <v>0.414</v>
      </c>
      <c r="H42" s="9">
        <f t="shared" si="0"/>
        <v>64.2065818181818</v>
      </c>
    </row>
    <row r="43" spans="1:8">
      <c r="A43" s="17">
        <v>329.8</v>
      </c>
      <c r="B43" s="10">
        <v>2.61</v>
      </c>
      <c r="C43" s="10">
        <v>6.7</v>
      </c>
      <c r="D43" s="9">
        <v>54</v>
      </c>
      <c r="E43" s="9">
        <v>225.2</v>
      </c>
      <c r="F43" s="17">
        <v>4.2</v>
      </c>
      <c r="G43" s="10">
        <v>0.535</v>
      </c>
      <c r="H43" s="9">
        <f t="shared" si="0"/>
        <v>65.9417857142857</v>
      </c>
    </row>
    <row r="44" spans="1:8">
      <c r="A44" s="17">
        <v>312.09</v>
      </c>
      <c r="B44" s="10">
        <v>2.62</v>
      </c>
      <c r="C44" s="10">
        <v>4.2</v>
      </c>
      <c r="D44" s="9">
        <v>59.6</v>
      </c>
      <c r="E44" s="9">
        <v>224.1</v>
      </c>
      <c r="F44" s="17">
        <v>4.6</v>
      </c>
      <c r="G44" s="10">
        <v>0.478</v>
      </c>
      <c r="H44" s="9">
        <f t="shared" si="0"/>
        <v>65.1603043478261</v>
      </c>
    </row>
    <row r="45" ht="15.15" spans="1:8">
      <c r="A45" s="18">
        <v>405.6</v>
      </c>
      <c r="B45" s="19">
        <v>2.63</v>
      </c>
      <c r="C45" s="19">
        <v>2.6</v>
      </c>
      <c r="D45" s="20">
        <v>53</v>
      </c>
      <c r="E45" s="20">
        <v>221.1</v>
      </c>
      <c r="F45" s="18">
        <v>2.1</v>
      </c>
      <c r="G45" s="19">
        <v>0.435</v>
      </c>
      <c r="H45" s="20">
        <f t="shared" si="0"/>
        <v>68.5978571428571</v>
      </c>
    </row>
  </sheetData>
  <mergeCells count="8">
    <mergeCell ref="A1:A3"/>
    <mergeCell ref="B1:B3"/>
    <mergeCell ref="C1:C3"/>
    <mergeCell ref="D1:D3"/>
    <mergeCell ref="E1:E3"/>
    <mergeCell ref="F1:F3"/>
    <mergeCell ref="G1:G3"/>
    <mergeCell ref="H1:H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H5" sqref="H5"/>
    </sheetView>
  </sheetViews>
  <sheetFormatPr defaultColWidth="8.88888888888889" defaultRowHeight="14.4" outlineLevelCol="5"/>
  <sheetData>
    <row r="1" spans="1:6">
      <c r="A1" s="6" t="s">
        <v>0</v>
      </c>
      <c r="B1" s="6" t="s">
        <v>9</v>
      </c>
      <c r="C1" s="7" t="s">
        <v>10</v>
      </c>
      <c r="D1" s="6" t="s">
        <v>11</v>
      </c>
      <c r="E1" s="8" t="s">
        <v>5</v>
      </c>
      <c r="F1" s="8" t="s">
        <v>6</v>
      </c>
    </row>
    <row r="2" spans="1:6">
      <c r="A2" s="6"/>
      <c r="B2" s="6"/>
      <c r="C2" s="7"/>
      <c r="D2" s="6"/>
      <c r="E2" s="8"/>
      <c r="F2" s="8"/>
    </row>
    <row r="3" spans="1:6">
      <c r="A3" s="6"/>
      <c r="B3" s="6"/>
      <c r="C3" s="7"/>
      <c r="D3" s="6"/>
      <c r="E3" s="8"/>
      <c r="F3" s="8"/>
    </row>
    <row r="4" spans="1:6">
      <c r="A4" s="9">
        <v>22.27</v>
      </c>
      <c r="B4" s="10">
        <v>2.48</v>
      </c>
      <c r="C4" s="10">
        <v>9</v>
      </c>
      <c r="D4" s="9">
        <v>67.1</v>
      </c>
      <c r="E4" s="9">
        <v>10.2</v>
      </c>
      <c r="F4" s="10">
        <v>1.872</v>
      </c>
    </row>
    <row r="5" spans="1:6">
      <c r="A5" s="9">
        <v>19.34</v>
      </c>
      <c r="B5" s="10">
        <v>2.59</v>
      </c>
      <c r="C5" s="10">
        <v>6.6</v>
      </c>
      <c r="D5" s="9">
        <v>62.2</v>
      </c>
      <c r="E5" s="9">
        <v>7.4</v>
      </c>
      <c r="F5" s="10">
        <v>0.711</v>
      </c>
    </row>
    <row r="6" spans="1:6">
      <c r="A6" s="9">
        <v>53.05</v>
      </c>
      <c r="B6" s="10">
        <v>2.6</v>
      </c>
      <c r="C6" s="10">
        <v>4.3</v>
      </c>
      <c r="D6" s="9">
        <v>57.6</v>
      </c>
      <c r="E6" s="9">
        <v>4.6</v>
      </c>
      <c r="F6" s="10">
        <v>0.232</v>
      </c>
    </row>
    <row r="7" spans="1:6">
      <c r="A7" s="9">
        <v>123.49</v>
      </c>
      <c r="B7" s="10">
        <v>2.46</v>
      </c>
      <c r="C7" s="10">
        <v>6.2</v>
      </c>
      <c r="D7" s="9">
        <v>57.5</v>
      </c>
      <c r="E7" s="9">
        <v>4.2</v>
      </c>
      <c r="F7" s="10">
        <v>0.16</v>
      </c>
    </row>
    <row r="8" spans="1:6">
      <c r="A8" s="9">
        <v>116.32</v>
      </c>
      <c r="B8" s="10">
        <v>2.56</v>
      </c>
      <c r="C8" s="10">
        <v>3.2</v>
      </c>
      <c r="D8" s="9">
        <v>57.2</v>
      </c>
      <c r="E8" s="9">
        <v>4.2</v>
      </c>
      <c r="F8" s="10">
        <v>0.704</v>
      </c>
    </row>
    <row r="9" spans="1:6">
      <c r="A9" s="9">
        <v>128.17</v>
      </c>
      <c r="B9" s="10">
        <v>2.43</v>
      </c>
      <c r="C9" s="10">
        <v>3.5</v>
      </c>
      <c r="D9" s="9">
        <v>55.8</v>
      </c>
      <c r="E9" s="9">
        <v>3.3</v>
      </c>
      <c r="F9" s="10">
        <v>0.128</v>
      </c>
    </row>
    <row r="10" spans="1:6">
      <c r="A10" s="9">
        <v>125.63</v>
      </c>
      <c r="B10" s="10">
        <v>2.55</v>
      </c>
      <c r="C10" s="10">
        <v>4.1</v>
      </c>
      <c r="D10" s="9">
        <v>58.1</v>
      </c>
      <c r="E10" s="9">
        <v>4.5</v>
      </c>
      <c r="F10" s="10">
        <v>0.244</v>
      </c>
    </row>
    <row r="11" spans="1:6">
      <c r="A11" s="9">
        <v>154.62</v>
      </c>
      <c r="B11" s="10">
        <v>2.64</v>
      </c>
      <c r="C11" s="10">
        <v>6.5</v>
      </c>
      <c r="D11" s="9">
        <v>56.2</v>
      </c>
      <c r="E11" s="9">
        <v>3.7</v>
      </c>
      <c r="F11" s="10">
        <v>0.555</v>
      </c>
    </row>
    <row r="12" spans="1:6">
      <c r="A12" s="9">
        <v>73.41</v>
      </c>
      <c r="B12" s="10">
        <v>2.57</v>
      </c>
      <c r="C12" s="10">
        <v>3</v>
      </c>
      <c r="D12" s="9">
        <v>57.7</v>
      </c>
      <c r="E12" s="9">
        <v>4.6</v>
      </c>
      <c r="F12" s="10">
        <v>1.243</v>
      </c>
    </row>
    <row r="13" spans="1:6">
      <c r="A13" s="9">
        <v>1473.98</v>
      </c>
      <c r="B13" s="10">
        <v>2.61</v>
      </c>
      <c r="C13" s="10">
        <v>-0.2</v>
      </c>
      <c r="D13" s="9">
        <v>51.4</v>
      </c>
      <c r="E13" s="9">
        <v>0.7</v>
      </c>
      <c r="F13" s="10">
        <v>0.171</v>
      </c>
    </row>
    <row r="14" spans="1:6">
      <c r="A14" s="9">
        <v>777.28</v>
      </c>
      <c r="B14" s="10">
        <v>2.6</v>
      </c>
      <c r="C14" s="10">
        <v>0.1</v>
      </c>
      <c r="D14" s="9">
        <v>51.7</v>
      </c>
      <c r="E14" s="9">
        <v>0.8</v>
      </c>
      <c r="F14" s="10">
        <v>0.154</v>
      </c>
    </row>
    <row r="15" spans="1:6">
      <c r="A15" s="9">
        <v>371.64</v>
      </c>
      <c r="B15" s="10">
        <v>2.62</v>
      </c>
      <c r="C15" s="10">
        <v>2.2</v>
      </c>
      <c r="D15" s="9">
        <v>53.9</v>
      </c>
      <c r="E15" s="9">
        <v>2.2</v>
      </c>
      <c r="F15" s="10">
        <v>0.393</v>
      </c>
    </row>
    <row r="16" spans="1:6">
      <c r="A16" s="9">
        <v>522.77</v>
      </c>
      <c r="B16" s="10">
        <v>2.61</v>
      </c>
      <c r="C16" s="10">
        <v>0.6</v>
      </c>
      <c r="D16" s="9">
        <v>51.6</v>
      </c>
      <c r="E16" s="9">
        <v>0.9</v>
      </c>
      <c r="F16" s="10">
        <v>0.228</v>
      </c>
    </row>
    <row r="17" spans="1:6">
      <c r="A17" s="9">
        <v>222.62</v>
      </c>
      <c r="B17" s="10">
        <v>2.61</v>
      </c>
      <c r="C17" s="10">
        <v>3.3</v>
      </c>
      <c r="D17" s="9">
        <v>56.1</v>
      </c>
      <c r="E17" s="9">
        <v>3.5</v>
      </c>
      <c r="F17" s="10">
        <v>0.572</v>
      </c>
    </row>
    <row r="18" spans="1:6">
      <c r="A18" s="9">
        <v>120.23</v>
      </c>
      <c r="B18" s="10">
        <v>2.59</v>
      </c>
      <c r="C18" s="10">
        <v>6.9</v>
      </c>
      <c r="D18" s="9">
        <v>55.7</v>
      </c>
      <c r="E18" s="9">
        <v>3.5</v>
      </c>
      <c r="F18" s="10">
        <v>0.442</v>
      </c>
    </row>
    <row r="19" spans="1:6">
      <c r="A19" s="9">
        <v>45.65</v>
      </c>
      <c r="B19" s="10">
        <v>2.59</v>
      </c>
      <c r="C19" s="10">
        <v>8.3</v>
      </c>
      <c r="D19" s="9">
        <v>63.2</v>
      </c>
      <c r="E19" s="9">
        <v>8.2</v>
      </c>
      <c r="F19" s="10">
        <v>2.391</v>
      </c>
    </row>
    <row r="20" spans="1:6">
      <c r="A20" s="9">
        <v>36.02</v>
      </c>
      <c r="B20" s="10">
        <v>2.6</v>
      </c>
      <c r="C20" s="10">
        <v>5.4</v>
      </c>
      <c r="D20" s="9">
        <v>59.6</v>
      </c>
      <c r="E20" s="9">
        <v>6</v>
      </c>
      <c r="F20" s="10">
        <v>1.299</v>
      </c>
    </row>
    <row r="21" spans="1:6">
      <c r="A21" s="9">
        <v>65.73</v>
      </c>
      <c r="B21" s="10">
        <v>2.59</v>
      </c>
      <c r="C21" s="10">
        <v>7.9</v>
      </c>
      <c r="D21" s="9">
        <v>57.9</v>
      </c>
      <c r="E21" s="9">
        <v>5.4</v>
      </c>
      <c r="F21" s="10">
        <v>0.648</v>
      </c>
    </row>
    <row r="22" spans="1:6">
      <c r="A22" s="9">
        <v>40.75</v>
      </c>
      <c r="B22" s="10">
        <v>2.46</v>
      </c>
      <c r="C22" s="10">
        <v>12.5</v>
      </c>
      <c r="D22" s="9" t="s">
        <v>12</v>
      </c>
      <c r="E22" s="9" t="s">
        <v>12</v>
      </c>
      <c r="F22" s="10">
        <v>1.734</v>
      </c>
    </row>
    <row r="23" spans="1:6">
      <c r="A23" s="11">
        <v>38.85</v>
      </c>
      <c r="B23" s="12">
        <v>2.55</v>
      </c>
      <c r="C23" s="12">
        <v>7.6</v>
      </c>
      <c r="D23" s="11">
        <v>62.7</v>
      </c>
      <c r="E23" s="11">
        <v>7.4</v>
      </c>
      <c r="F23" s="12">
        <v>0.689</v>
      </c>
    </row>
    <row r="24" spans="1:6">
      <c r="A24" s="11">
        <v>289.54</v>
      </c>
      <c r="B24" s="12">
        <v>2.61</v>
      </c>
      <c r="C24" s="12">
        <v>3.3</v>
      </c>
      <c r="D24" s="11">
        <v>55.9</v>
      </c>
      <c r="E24" s="11">
        <v>3.4</v>
      </c>
      <c r="F24" s="12">
        <v>0.262</v>
      </c>
    </row>
    <row r="25" spans="1:6">
      <c r="A25" s="11">
        <v>696.99</v>
      </c>
      <c r="B25" s="12">
        <v>2.61</v>
      </c>
      <c r="C25" s="12">
        <v>2.3</v>
      </c>
      <c r="D25" s="11">
        <v>54</v>
      </c>
      <c r="E25" s="11">
        <v>2.1</v>
      </c>
      <c r="F25" s="12">
        <v>0.046</v>
      </c>
    </row>
    <row r="26" spans="1:6">
      <c r="A26" s="11">
        <v>1908.91</v>
      </c>
      <c r="B26" s="12">
        <v>2.62</v>
      </c>
      <c r="C26" s="12">
        <v>1.5</v>
      </c>
      <c r="D26" s="11">
        <v>53.2</v>
      </c>
      <c r="E26" s="11">
        <v>1.6</v>
      </c>
      <c r="F26" s="12">
        <v>0.046</v>
      </c>
    </row>
    <row r="27" spans="1:6">
      <c r="A27" s="11">
        <v>721.09</v>
      </c>
      <c r="B27" s="12">
        <v>2.6</v>
      </c>
      <c r="C27" s="12">
        <v>1.6</v>
      </c>
      <c r="D27" s="11">
        <v>53.9</v>
      </c>
      <c r="E27" s="11">
        <v>2</v>
      </c>
      <c r="F27" s="12">
        <v>0.085</v>
      </c>
    </row>
    <row r="28" spans="1:6">
      <c r="A28" s="11">
        <v>1247.2</v>
      </c>
      <c r="B28" s="12">
        <v>2.61</v>
      </c>
      <c r="C28" s="12">
        <v>2.2</v>
      </c>
      <c r="D28" s="11">
        <v>54.7</v>
      </c>
      <c r="E28" s="11">
        <v>2.4</v>
      </c>
      <c r="F28" s="12">
        <v>0.051</v>
      </c>
    </row>
    <row r="29" spans="1:6">
      <c r="A29" s="11">
        <v>645.51</v>
      </c>
      <c r="B29" s="12">
        <v>2.61</v>
      </c>
      <c r="C29" s="12">
        <v>1.5</v>
      </c>
      <c r="D29" s="11">
        <v>53.1</v>
      </c>
      <c r="E29" s="11">
        <v>1.6</v>
      </c>
      <c r="F29" s="12">
        <v>0.081</v>
      </c>
    </row>
    <row r="30" spans="1:6">
      <c r="A30" s="11">
        <v>835.03</v>
      </c>
      <c r="B30" s="12">
        <v>2.6</v>
      </c>
      <c r="C30" s="12">
        <v>2.4</v>
      </c>
      <c r="D30" s="11">
        <v>53.7</v>
      </c>
      <c r="E30" s="11">
        <v>1.9</v>
      </c>
      <c r="F30" s="12">
        <v>0.047</v>
      </c>
    </row>
    <row r="31" spans="1:6">
      <c r="A31" s="11">
        <v>3215</v>
      </c>
      <c r="B31" s="12">
        <v>2.59</v>
      </c>
      <c r="C31" s="12">
        <v>0</v>
      </c>
      <c r="D31" s="11">
        <v>51.6</v>
      </c>
      <c r="E31" s="11">
        <v>0.9</v>
      </c>
      <c r="F31" s="12">
        <v>0</v>
      </c>
    </row>
    <row r="32" ht="15.15" spans="1:6">
      <c r="A32" s="13">
        <v>2128.01</v>
      </c>
      <c r="B32" s="14">
        <v>2.59</v>
      </c>
      <c r="C32" s="14">
        <v>0.2</v>
      </c>
      <c r="D32" s="13">
        <v>51.8</v>
      </c>
      <c r="E32" s="13">
        <v>0.8</v>
      </c>
      <c r="F32" s="14">
        <v>0.004</v>
      </c>
    </row>
  </sheetData>
  <mergeCells count="6">
    <mergeCell ref="A1:A3"/>
    <mergeCell ref="B1:B3"/>
    <mergeCell ref="C1:C3"/>
    <mergeCell ref="D1:D3"/>
    <mergeCell ref="E1:E3"/>
    <mergeCell ref="F1:F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I4" sqref="I4"/>
    </sheetView>
  </sheetViews>
  <sheetFormatPr defaultColWidth="8.88888888888889" defaultRowHeight="14.4" outlineLevelCol="4"/>
  <sheetData>
    <row r="1" ht="26.4" spans="1:5">
      <c r="A1" s="5" t="s">
        <v>13</v>
      </c>
      <c r="B1" s="1" t="s">
        <v>14</v>
      </c>
      <c r="C1" s="1" t="s">
        <v>15</v>
      </c>
      <c r="D1" s="1" t="s">
        <v>16</v>
      </c>
      <c r="E1" s="2" t="s">
        <v>17</v>
      </c>
    </row>
    <row r="2" spans="1:5">
      <c r="A2" s="3" t="s">
        <v>12</v>
      </c>
      <c r="B2" s="3" t="s">
        <v>12</v>
      </c>
      <c r="C2" s="4">
        <v>0.046</v>
      </c>
      <c r="D2" s="3">
        <v>60</v>
      </c>
      <c r="E2" s="3">
        <v>5.8</v>
      </c>
    </row>
    <row r="3" spans="1:5">
      <c r="A3" s="3">
        <v>56.4</v>
      </c>
      <c r="B3" s="4">
        <v>2.58</v>
      </c>
      <c r="C3" s="4">
        <v>0.037</v>
      </c>
      <c r="D3" s="3">
        <v>60.5</v>
      </c>
      <c r="E3" s="3">
        <v>5</v>
      </c>
    </row>
    <row r="4" spans="1:5">
      <c r="A4" s="3">
        <v>70</v>
      </c>
      <c r="B4" s="4">
        <v>2.59</v>
      </c>
      <c r="C4" s="4">
        <v>0.018</v>
      </c>
      <c r="D4" s="3">
        <v>56.7</v>
      </c>
      <c r="E4" s="3">
        <v>2.9</v>
      </c>
    </row>
    <row r="5" spans="1:5">
      <c r="A5" s="3">
        <v>89</v>
      </c>
      <c r="B5" s="4">
        <v>2.6</v>
      </c>
      <c r="C5" s="4">
        <v>0.02</v>
      </c>
      <c r="D5" s="3">
        <v>56.5</v>
      </c>
      <c r="E5" s="3">
        <v>2.5</v>
      </c>
    </row>
    <row r="6" spans="1:5">
      <c r="A6" s="3">
        <v>75.1</v>
      </c>
      <c r="B6" s="4">
        <v>2.59</v>
      </c>
      <c r="C6" s="4">
        <v>0.037</v>
      </c>
      <c r="D6" s="3">
        <v>57.8</v>
      </c>
      <c r="E6" s="3">
        <v>3.1</v>
      </c>
    </row>
    <row r="7" spans="1:5">
      <c r="A7" s="3">
        <v>85.4</v>
      </c>
      <c r="B7" s="4">
        <v>2.61</v>
      </c>
      <c r="C7" s="4">
        <v>0.019</v>
      </c>
      <c r="D7" s="3">
        <v>56.3</v>
      </c>
      <c r="E7" s="3">
        <v>2.1</v>
      </c>
    </row>
    <row r="8" spans="1:5">
      <c r="A8" s="3">
        <v>401</v>
      </c>
      <c r="B8" s="4">
        <v>2.61</v>
      </c>
      <c r="C8" s="4">
        <v>0.023</v>
      </c>
      <c r="D8" s="3">
        <v>57.2</v>
      </c>
      <c r="E8" s="3">
        <v>2.5</v>
      </c>
    </row>
    <row r="9" spans="1:5">
      <c r="A9" s="3">
        <v>121.5</v>
      </c>
      <c r="B9" s="4">
        <v>2.58</v>
      </c>
      <c r="C9" s="4">
        <v>0.026</v>
      </c>
      <c r="D9" s="3">
        <v>58.1</v>
      </c>
      <c r="E9" s="3">
        <v>3.5</v>
      </c>
    </row>
    <row r="10" spans="1:5">
      <c r="A10" s="3">
        <v>128.6</v>
      </c>
      <c r="B10" s="4">
        <v>2.62</v>
      </c>
      <c r="C10" s="4">
        <v>0.027</v>
      </c>
      <c r="D10" s="3">
        <v>57.6</v>
      </c>
      <c r="E10" s="3">
        <v>2.8</v>
      </c>
    </row>
    <row r="11" spans="1:5">
      <c r="A11" s="3">
        <v>106.4</v>
      </c>
      <c r="B11" s="4">
        <v>2.6</v>
      </c>
      <c r="C11" s="3">
        <v>0.02</v>
      </c>
      <c r="D11" s="3">
        <v>57.3</v>
      </c>
      <c r="E11" s="4">
        <v>2.9</v>
      </c>
    </row>
    <row r="12" spans="1:5">
      <c r="A12" s="3">
        <v>67.6</v>
      </c>
      <c r="B12" s="4">
        <v>2.6</v>
      </c>
      <c r="C12" s="4">
        <v>0.037</v>
      </c>
      <c r="D12" s="3">
        <v>60.9</v>
      </c>
      <c r="E12" s="3">
        <v>5.1</v>
      </c>
    </row>
    <row r="13" spans="1:5">
      <c r="A13" s="3">
        <v>77.6</v>
      </c>
      <c r="B13" s="4">
        <v>2.57</v>
      </c>
      <c r="C13" s="4">
        <v>0.026</v>
      </c>
      <c r="D13" s="3">
        <v>59.5</v>
      </c>
      <c r="E13" s="3">
        <v>4.1</v>
      </c>
    </row>
    <row r="14" spans="1:5">
      <c r="A14" s="3">
        <v>226.4</v>
      </c>
      <c r="B14" s="4">
        <v>2.6</v>
      </c>
      <c r="C14" s="4">
        <v>0.015</v>
      </c>
      <c r="D14" s="3">
        <v>56.8</v>
      </c>
      <c r="E14" s="3">
        <v>2.1</v>
      </c>
    </row>
    <row r="15" spans="1:5">
      <c r="A15" s="3">
        <v>113.6</v>
      </c>
      <c r="B15" s="4">
        <v>2.6</v>
      </c>
      <c r="C15" s="4">
        <v>0.014</v>
      </c>
      <c r="D15" s="3">
        <v>57.1</v>
      </c>
      <c r="E15" s="3">
        <v>2.3</v>
      </c>
    </row>
    <row r="16" spans="1:5">
      <c r="A16" s="3">
        <v>91.7</v>
      </c>
      <c r="B16" s="4">
        <v>2.6</v>
      </c>
      <c r="C16" s="4">
        <v>0.023</v>
      </c>
      <c r="D16" s="3">
        <v>59.2</v>
      </c>
      <c r="E16" s="3">
        <v>4.1</v>
      </c>
    </row>
    <row r="17" spans="1:5">
      <c r="A17" s="3">
        <v>72.2</v>
      </c>
      <c r="B17" s="4">
        <v>2.63</v>
      </c>
      <c r="C17" s="4">
        <v>0.049</v>
      </c>
      <c r="D17" s="3">
        <v>60.1</v>
      </c>
      <c r="E17" s="3">
        <v>4.6</v>
      </c>
    </row>
    <row r="18" spans="1:5">
      <c r="A18" s="3">
        <v>5876.8</v>
      </c>
      <c r="B18" s="4">
        <v>2.59</v>
      </c>
      <c r="C18" s="4">
        <v>0.004</v>
      </c>
      <c r="D18" s="3">
        <v>54.9</v>
      </c>
      <c r="E18" s="3">
        <v>1.6</v>
      </c>
    </row>
    <row r="19" spans="1:5">
      <c r="A19" s="3">
        <v>565.8</v>
      </c>
      <c r="B19" s="4">
        <v>2.63</v>
      </c>
      <c r="C19" s="4">
        <v>0.021</v>
      </c>
      <c r="D19" s="3">
        <v>58.2</v>
      </c>
      <c r="E19" s="3">
        <v>3.6</v>
      </c>
    </row>
    <row r="20" spans="1:5">
      <c r="A20" s="3">
        <v>141.2</v>
      </c>
      <c r="B20" s="4">
        <v>2.59</v>
      </c>
      <c r="C20" s="4">
        <v>0.025</v>
      </c>
      <c r="D20" s="3">
        <v>58</v>
      </c>
      <c r="E20" s="3">
        <v>3.4</v>
      </c>
    </row>
    <row r="21" spans="1:5">
      <c r="A21" s="3">
        <v>84</v>
      </c>
      <c r="B21" s="4">
        <v>2.62</v>
      </c>
      <c r="C21" s="4">
        <v>0.026</v>
      </c>
      <c r="D21" s="3">
        <v>57.7</v>
      </c>
      <c r="E21" s="3">
        <v>3</v>
      </c>
    </row>
    <row r="22" spans="1:5">
      <c r="A22" s="3">
        <v>244.1</v>
      </c>
      <c r="B22" s="4">
        <v>2.55</v>
      </c>
      <c r="C22" s="4">
        <v>0.001</v>
      </c>
      <c r="D22" s="3">
        <v>55.2</v>
      </c>
      <c r="E22" s="3">
        <v>1.9</v>
      </c>
    </row>
    <row r="23" spans="1:5">
      <c r="A23" s="3">
        <v>146.7</v>
      </c>
      <c r="B23" s="4">
        <v>2.64</v>
      </c>
      <c r="C23" s="4">
        <v>0.052</v>
      </c>
      <c r="D23" s="3">
        <v>58.7</v>
      </c>
      <c r="E23" s="3">
        <v>3.1</v>
      </c>
    </row>
    <row r="24" spans="1:5">
      <c r="A24" s="3">
        <v>51.9</v>
      </c>
      <c r="B24" s="4">
        <v>2.67</v>
      </c>
      <c r="C24" s="4">
        <v>0.049</v>
      </c>
      <c r="D24" s="3">
        <v>58.3</v>
      </c>
      <c r="E24" s="3">
        <v>3.4</v>
      </c>
    </row>
    <row r="25" spans="1:5">
      <c r="A25" s="3">
        <v>300.5</v>
      </c>
      <c r="B25" s="4">
        <v>2.62</v>
      </c>
      <c r="C25" s="4">
        <v>0.026</v>
      </c>
      <c r="D25" s="3">
        <v>55.9</v>
      </c>
      <c r="E25" s="3">
        <v>2</v>
      </c>
    </row>
    <row r="26" spans="1:5">
      <c r="A26" s="3">
        <v>278.6</v>
      </c>
      <c r="B26" s="4">
        <v>2.65</v>
      </c>
      <c r="C26" s="4">
        <v>0.027</v>
      </c>
      <c r="D26" s="3">
        <v>57.3</v>
      </c>
      <c r="E26" s="3">
        <v>2.8</v>
      </c>
    </row>
    <row r="27" spans="1:5">
      <c r="A27" s="3">
        <v>253.6</v>
      </c>
      <c r="B27" s="4">
        <v>2.62</v>
      </c>
      <c r="C27" s="4">
        <v>0.01</v>
      </c>
      <c r="D27" s="3">
        <v>55.3</v>
      </c>
      <c r="E27" s="3">
        <v>1.7</v>
      </c>
    </row>
    <row r="28" spans="1:5">
      <c r="A28" s="3">
        <v>95.8</v>
      </c>
      <c r="B28" s="4">
        <v>2.63</v>
      </c>
      <c r="C28" s="4">
        <v>0.01</v>
      </c>
      <c r="D28" s="3">
        <v>56.3</v>
      </c>
      <c r="E28" s="3">
        <v>2.4</v>
      </c>
    </row>
    <row r="29" spans="1:5">
      <c r="A29" s="3">
        <v>138.3</v>
      </c>
      <c r="B29" s="4">
        <v>2.61</v>
      </c>
      <c r="C29" s="4">
        <v>0.017</v>
      </c>
      <c r="D29" s="3">
        <v>56.5</v>
      </c>
      <c r="E29" s="3">
        <v>2.6</v>
      </c>
    </row>
    <row r="30" spans="1:5">
      <c r="A30" s="3">
        <v>100.6</v>
      </c>
      <c r="B30" s="4">
        <v>2.62</v>
      </c>
      <c r="C30" s="4">
        <v>0.014</v>
      </c>
      <c r="D30" s="3">
        <v>58</v>
      </c>
      <c r="E30" s="3">
        <v>4</v>
      </c>
    </row>
    <row r="31" spans="1:5">
      <c r="A31" s="3">
        <v>55.4</v>
      </c>
      <c r="B31" s="4">
        <v>2.61</v>
      </c>
      <c r="C31" s="4">
        <v>0.058</v>
      </c>
      <c r="D31" s="3">
        <v>59.5</v>
      </c>
      <c r="E31" s="3">
        <v>4.5</v>
      </c>
    </row>
    <row r="32" spans="1:5">
      <c r="A32" s="3">
        <v>60.1</v>
      </c>
      <c r="B32" s="4">
        <v>2.63</v>
      </c>
      <c r="C32" s="4">
        <v>0.046</v>
      </c>
      <c r="D32" s="3">
        <v>59.8</v>
      </c>
      <c r="E32" s="3">
        <v>4.4</v>
      </c>
    </row>
    <row r="33" spans="1:5">
      <c r="A33" s="3">
        <v>91.7</v>
      </c>
      <c r="B33" s="4">
        <v>2.53</v>
      </c>
      <c r="C33" s="4">
        <v>0.105</v>
      </c>
      <c r="D33" s="3">
        <v>59</v>
      </c>
      <c r="E33" s="3">
        <v>5.8</v>
      </c>
    </row>
    <row r="34" spans="1:5">
      <c r="A34" s="3">
        <v>644.5</v>
      </c>
      <c r="B34" s="4">
        <v>2.66</v>
      </c>
      <c r="C34" s="4">
        <v>0.002</v>
      </c>
      <c r="D34" s="3">
        <v>55.2</v>
      </c>
      <c r="E34" s="3">
        <v>1.4</v>
      </c>
    </row>
    <row r="35" spans="1:5">
      <c r="A35" s="3">
        <v>1222.4</v>
      </c>
      <c r="B35" s="4">
        <v>2.63</v>
      </c>
      <c r="C35" s="4">
        <v>0.014</v>
      </c>
      <c r="D35" s="3">
        <v>57.2</v>
      </c>
      <c r="E35" s="3">
        <v>2.9</v>
      </c>
    </row>
    <row r="36" spans="1:5">
      <c r="A36" s="3">
        <v>38.6</v>
      </c>
      <c r="B36" s="4">
        <v>2.66</v>
      </c>
      <c r="C36" s="4">
        <v>0.039</v>
      </c>
      <c r="D36" s="3">
        <v>57.4</v>
      </c>
      <c r="E36" s="3">
        <v>3.7</v>
      </c>
    </row>
    <row r="37" spans="1:5">
      <c r="A37" s="3">
        <v>2436.4</v>
      </c>
      <c r="B37" s="4" t="s">
        <v>18</v>
      </c>
      <c r="C37" s="4" t="s">
        <v>19</v>
      </c>
      <c r="D37" s="3" t="s">
        <v>20</v>
      </c>
      <c r="E37" s="3" t="s">
        <v>12</v>
      </c>
    </row>
    <row r="38" spans="1:5">
      <c r="A38" s="3">
        <v>1367.2</v>
      </c>
      <c r="B38" s="4" t="s">
        <v>18</v>
      </c>
      <c r="C38" s="4" t="s">
        <v>19</v>
      </c>
      <c r="D38" s="3" t="s">
        <v>20</v>
      </c>
      <c r="E38" s="3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E26" sqref="E26"/>
    </sheetView>
  </sheetViews>
  <sheetFormatPr defaultColWidth="8.88888888888889" defaultRowHeight="14.4" outlineLevelCol="3"/>
  <sheetData>
    <row r="1" ht="26.4" spans="1:4">
      <c r="A1" s="1" t="s">
        <v>13</v>
      </c>
      <c r="B1" s="1" t="s">
        <v>14</v>
      </c>
      <c r="C1" s="1" t="s">
        <v>16</v>
      </c>
      <c r="D1" s="2" t="s">
        <v>17</v>
      </c>
    </row>
    <row r="2" spans="1:4">
      <c r="A2" s="3">
        <v>50.02</v>
      </c>
      <c r="B2" s="4">
        <v>2.61</v>
      </c>
      <c r="C2" s="3">
        <v>61.9</v>
      </c>
      <c r="D2" s="3">
        <v>5.3</v>
      </c>
    </row>
    <row r="3" spans="1:4">
      <c r="A3" s="3">
        <v>58.63</v>
      </c>
      <c r="B3" s="4">
        <v>2.63</v>
      </c>
      <c r="C3" s="3">
        <v>62.5</v>
      </c>
      <c r="D3" s="3">
        <v>4.7</v>
      </c>
    </row>
    <row r="4" spans="1:4">
      <c r="A4" s="3">
        <v>86.4</v>
      </c>
      <c r="B4" s="4">
        <v>2.62</v>
      </c>
      <c r="C4" s="3">
        <v>61</v>
      </c>
      <c r="D4" s="3">
        <v>4.3</v>
      </c>
    </row>
    <row r="5" spans="1:4">
      <c r="A5" s="3">
        <v>95.61</v>
      </c>
      <c r="B5" s="4">
        <v>2.65</v>
      </c>
      <c r="C5" s="3">
        <v>59</v>
      </c>
      <c r="D5" s="3">
        <v>3</v>
      </c>
    </row>
    <row r="6" spans="1:4">
      <c r="A6" s="3">
        <v>65.62</v>
      </c>
      <c r="B6" s="4">
        <v>2.61</v>
      </c>
      <c r="C6" s="3">
        <v>62.1</v>
      </c>
      <c r="D6" s="3">
        <v>4.9</v>
      </c>
    </row>
    <row r="7" spans="1:4">
      <c r="A7" s="3">
        <v>94.11</v>
      </c>
      <c r="B7" s="4">
        <v>2.58</v>
      </c>
      <c r="C7" s="3">
        <v>62.8</v>
      </c>
      <c r="D7" s="3">
        <v>5</v>
      </c>
    </row>
    <row r="8" spans="1:4">
      <c r="A8" s="3">
        <v>61.91</v>
      </c>
      <c r="B8" s="4">
        <v>2.62</v>
      </c>
      <c r="C8" s="3">
        <v>62.1</v>
      </c>
      <c r="D8" s="3">
        <v>4</v>
      </c>
    </row>
    <row r="9" spans="1:4">
      <c r="A9" s="3">
        <v>82.17</v>
      </c>
      <c r="B9" s="4">
        <v>2.56</v>
      </c>
      <c r="C9" s="3">
        <v>62.6</v>
      </c>
      <c r="D9" s="3">
        <v>5.8</v>
      </c>
    </row>
    <row r="10" spans="1:4">
      <c r="A10" s="3">
        <v>96.3</v>
      </c>
      <c r="B10" s="4">
        <v>2.61</v>
      </c>
      <c r="C10" s="3">
        <v>59.4</v>
      </c>
      <c r="D10" s="3">
        <v>3.4</v>
      </c>
    </row>
    <row r="11" spans="1:4">
      <c r="A11" s="3">
        <v>111.5</v>
      </c>
      <c r="B11" s="4">
        <v>2.57</v>
      </c>
      <c r="C11" s="3">
        <v>59.2</v>
      </c>
      <c r="D11" s="3">
        <v>5.7</v>
      </c>
    </row>
    <row r="12" spans="1:4">
      <c r="A12" s="3">
        <v>544.25</v>
      </c>
      <c r="B12" s="4">
        <v>2.66</v>
      </c>
      <c r="C12" s="3">
        <v>60.6</v>
      </c>
      <c r="D12" s="3">
        <v>3.8</v>
      </c>
    </row>
    <row r="13" spans="1:4">
      <c r="A13" s="3">
        <v>300.94</v>
      </c>
      <c r="B13" s="4">
        <v>2.62</v>
      </c>
      <c r="C13" s="3">
        <v>58.3</v>
      </c>
      <c r="D13" s="3">
        <v>2.8</v>
      </c>
    </row>
    <row r="14" spans="1:4">
      <c r="A14" s="3">
        <v>349.28</v>
      </c>
      <c r="B14" s="4">
        <v>2.62</v>
      </c>
      <c r="C14" s="3">
        <v>57.8</v>
      </c>
      <c r="D14" s="3">
        <v>2.3</v>
      </c>
    </row>
    <row r="15" spans="1:4">
      <c r="A15" s="3">
        <v>157.24</v>
      </c>
      <c r="B15" s="4">
        <v>2.6</v>
      </c>
      <c r="C15" s="3">
        <v>56.4</v>
      </c>
      <c r="D15" s="3">
        <v>2.3</v>
      </c>
    </row>
    <row r="16" spans="1:4">
      <c r="A16" s="3">
        <v>232.31</v>
      </c>
      <c r="B16" s="4">
        <v>2.63</v>
      </c>
      <c r="C16" s="3">
        <v>56.6</v>
      </c>
      <c r="D16" s="3">
        <v>2.1</v>
      </c>
    </row>
    <row r="17" spans="1:4">
      <c r="A17" s="3">
        <v>228.02</v>
      </c>
      <c r="B17" s="4">
        <v>2.62</v>
      </c>
      <c r="C17" s="3">
        <v>57.1</v>
      </c>
      <c r="D17" s="3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w1</vt:lpstr>
      <vt:lpstr>w2</vt:lpstr>
      <vt:lpstr>w3</vt:lpstr>
      <vt:lpstr>w4</vt:lpstr>
      <vt:lpstr>w5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Stella</cp:lastModifiedBy>
  <dcterms:created xsi:type="dcterms:W3CDTF">2025-01-28T01:42:00Z</dcterms:created>
  <dcterms:modified xsi:type="dcterms:W3CDTF">2025-01-28T01:55:22Z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9AAE7E943E674256AD81644AD8A44463_11</vt:lpwstr>
  </property>
  <property fmtid="{D5CDD505-2E9C-101B-9397-08002B2CF9AE}" pid="3" name="KSOProductBuildVer">
    <vt:lpwstr>2052-12.1.0.19770</vt:lpwstr>
  </property>
</Properties>
</file>