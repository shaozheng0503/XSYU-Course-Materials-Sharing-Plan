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615" activeTab="2"/>
  </bookViews>
  <sheets>
    <sheet name="运算器功能" sheetId="1" r:id="rId1"/>
    <sheet name="运算器控制信号模块输入与输出" sheetId="2" r:id="rId2"/>
    <sheet name="控制器模块输入与输出" sheetId="3" r:id="rId3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<sst xmlns="http://schemas.openxmlformats.org/spreadsheetml/2006/main" count="166" uniqueCount="92">
  <si>
    <t>运算器功能</t>
  </si>
  <si>
    <t>运算功能</t>
  </si>
  <si>
    <t>000</t>
  </si>
  <si>
    <r>
      <rPr>
        <sz val="12"/>
        <color theme="1"/>
        <rFont val="Times New Roman"/>
        <charset val="134"/>
      </rPr>
      <t>R = X + Y   (</t>
    </r>
    <r>
      <rPr>
        <sz val="12"/>
        <color theme="1"/>
        <rFont val="宋体"/>
        <charset val="134"/>
      </rPr>
      <t>设置</t>
    </r>
    <r>
      <rPr>
        <sz val="12"/>
        <color theme="1"/>
        <rFont val="Times New Roman"/>
        <charset val="134"/>
      </rPr>
      <t>OF/UOF)</t>
    </r>
  </si>
  <si>
    <t>001</t>
  </si>
  <si>
    <r>
      <rPr>
        <sz val="12"/>
        <color theme="1"/>
        <rFont val="Times New Roman"/>
        <charset val="134"/>
      </rPr>
      <t>R = X -Y    (</t>
    </r>
    <r>
      <rPr>
        <sz val="12"/>
        <color theme="1"/>
        <rFont val="宋体"/>
        <charset val="134"/>
      </rPr>
      <t>设置</t>
    </r>
    <r>
      <rPr>
        <sz val="12"/>
        <color theme="1"/>
        <rFont val="Times New Roman"/>
        <charset val="134"/>
      </rPr>
      <t xml:space="preserve"> OF/UOF)</t>
    </r>
  </si>
  <si>
    <t>010</t>
  </si>
  <si>
    <r>
      <rPr>
        <sz val="12"/>
        <color theme="1"/>
        <rFont val="Times New Roman"/>
        <charset val="134"/>
      </rPr>
      <t xml:space="preserve">R = X &amp; Y   </t>
    </r>
    <r>
      <rPr>
        <sz val="12"/>
        <color theme="1"/>
        <rFont val="宋体"/>
        <charset val="134"/>
      </rPr>
      <t>按位与</t>
    </r>
  </si>
  <si>
    <t>011</t>
  </si>
  <si>
    <r>
      <rPr>
        <sz val="12"/>
        <color theme="1"/>
        <rFont val="Times New Roman"/>
        <charset val="134"/>
      </rPr>
      <t xml:space="preserve">R = X | Y    </t>
    </r>
    <r>
      <rPr>
        <sz val="12"/>
        <color theme="1"/>
        <rFont val="宋体"/>
        <charset val="134"/>
      </rPr>
      <t>按位或</t>
    </r>
  </si>
  <si>
    <r>
      <rPr>
        <sz val="12"/>
        <color theme="1"/>
        <rFont val="Times New Roman"/>
        <charset val="134"/>
      </rPr>
      <t>R = X</t>
    </r>
    <r>
      <rPr>
        <sz val="12"/>
        <color theme="1"/>
        <rFont val="宋体"/>
        <charset val="134"/>
      </rPr>
      <t>⊕</t>
    </r>
    <r>
      <rPr>
        <sz val="12"/>
        <color theme="1"/>
        <rFont val="Times New Roman"/>
        <charset val="134"/>
      </rPr>
      <t xml:space="preserve">Y   </t>
    </r>
    <r>
      <rPr>
        <sz val="12"/>
        <color theme="1"/>
        <rFont val="宋体"/>
        <charset val="134"/>
      </rPr>
      <t>按位异或</t>
    </r>
  </si>
  <si>
    <t xml:space="preserve">R = B        </t>
  </si>
  <si>
    <r>
      <rPr>
        <sz val="12"/>
        <color theme="1"/>
        <rFont val="Times New Roman"/>
        <charset val="134"/>
      </rPr>
      <t>R=~B      B</t>
    </r>
    <r>
      <rPr>
        <sz val="12"/>
        <color theme="1"/>
        <rFont val="宋体"/>
        <charset val="134"/>
      </rPr>
      <t>按位取反</t>
    </r>
  </si>
  <si>
    <r>
      <rPr>
        <sz val="12"/>
        <color theme="1"/>
        <rFont val="Times New Roman"/>
        <charset val="134"/>
      </rPr>
      <t xml:space="preserve">R = (X &lt; Y) ? 1 : 0 </t>
    </r>
    <r>
      <rPr>
        <sz val="12"/>
        <color theme="1"/>
        <rFont val="宋体"/>
        <charset val="134"/>
      </rPr>
      <t>无符号比较</t>
    </r>
  </si>
  <si>
    <t>指令</t>
  </si>
  <si>
    <r>
      <rPr>
        <b/>
        <sz val="8"/>
        <color theme="1"/>
        <rFont val="Segoe UI Black"/>
        <charset val="134"/>
      </rPr>
      <t>OpCode
(</t>
    </r>
    <r>
      <rPr>
        <b/>
        <sz val="10"/>
        <color theme="4" tint="-0.249977111117893"/>
        <rFont val="仿宋"/>
        <charset val="134"/>
      </rPr>
      <t>十进制</t>
    </r>
    <r>
      <rPr>
        <b/>
        <sz val="10"/>
        <color theme="4" tint="-0.249977111117893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</si>
  <si>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</si>
  <si>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t>逻辑表达式最小项</t>
  </si>
  <si>
    <t>ADD</t>
  </si>
  <si>
    <t>~OP5&amp;~OP4&amp;~OP3&amp;~OP2&amp;~OP1&amp;~OP0&amp; F5&amp;~F4&amp;~F3&amp; ~F2&amp;~F1&amp;~F0</t>
  </si>
  <si>
    <t>ADDU</t>
  </si>
  <si>
    <t>~OP5&amp;~OP4&amp;~OP3&amp;~OP2&amp;~OP1&amp;~OP0&amp; F5&amp;~F4&amp;~F3&amp; ~F2&amp;~F1&amp; F0</t>
  </si>
  <si>
    <t>SUB</t>
  </si>
  <si>
    <t>~OP5&amp;~OP4&amp;~OP3&amp;~OP2&amp;~OP1&amp;~OP0&amp; F5&amp;~F4&amp;~F3&amp; ~F2&amp; F1&amp; ~F0</t>
  </si>
  <si>
    <t>AND</t>
  </si>
  <si>
    <t>~OP5&amp;~OP4&amp;~OP3&amp;~OP2&amp;~OP1&amp;~OP0&amp; F5&amp;~F4&amp; ~F3&amp; F2&amp; ~F1&amp;~F0</t>
  </si>
  <si>
    <t>OR</t>
  </si>
  <si>
    <t>~OP5&amp;~OP4&amp;~OP3&amp;~OP2&amp;~OP1&amp;~OP0&amp; F5&amp;~F4&amp; ~F3&amp; F2&amp; ~F1&amp; F0</t>
  </si>
  <si>
    <t>XOR</t>
  </si>
  <si>
    <t>~OP5&amp;~OP4&amp;~OP3&amp;~OP2&amp;~OP1&amp;~OP0&amp; F5&amp;~F4&amp; ~F3&amp; F2&amp; F1&amp;~F0</t>
  </si>
  <si>
    <t>SLTU</t>
  </si>
  <si>
    <t>~OP5&amp;~OP4&amp;~OP3&amp;~OP2&amp;~OP1&amp;~OP0&amp; F5&amp;~F4&amp; F3&amp; ~F2&amp; F1&amp;F0</t>
  </si>
  <si>
    <t>J</t>
  </si>
  <si>
    <t>X</t>
  </si>
  <si>
    <t>~OP5&amp;~OP4&amp;~OP3&amp; ~OP2&amp; OP1&amp; ~OP0</t>
  </si>
  <si>
    <t>JAL</t>
  </si>
  <si>
    <t>~OP5&amp;~OP4&amp; ~OP3&amp;~OP2&amp; OP1&amp; OP0</t>
  </si>
  <si>
    <t>BEQ</t>
  </si>
  <si>
    <t>~OP5&amp;~OP4&amp; ~OP3&amp; OP2&amp;~OP1&amp;~OP0</t>
  </si>
  <si>
    <t>BNE</t>
  </si>
  <si>
    <t>~OP5&amp;~OP4&amp; ~OP3&amp; OP2&amp;~OP1&amp; OP0</t>
  </si>
  <si>
    <t>ADDI</t>
  </si>
  <si>
    <t>~OP5&amp;~OP4&amp; OP3&amp;~OP2&amp; ~OP1&amp;~OP0</t>
  </si>
  <si>
    <t>ANDI</t>
  </si>
  <si>
    <t>~OP5&amp;~OP4&amp; OP3&amp; OP2&amp;~OP1&amp; ~OP0</t>
  </si>
  <si>
    <t>ORI</t>
  </si>
  <si>
    <t xml:space="preserve"> ~OP5&amp;~OP4&amp; OP3&amp; OP2&amp; ~OP1&amp; OP0</t>
  </si>
  <si>
    <t>XORI</t>
  </si>
  <si>
    <t xml:space="preserve"> ~OP5&amp;~OP4&amp; OP3&amp; OP2&amp; OP1&amp; ~OP0</t>
  </si>
  <si>
    <t>LW</t>
  </si>
  <si>
    <t xml:space="preserve"> OP5&amp;~OP4&amp;~OP3&amp;~OP2&amp; OP1&amp; OP0</t>
  </si>
  <si>
    <t/>
  </si>
  <si>
    <t>SW</t>
  </si>
  <si>
    <t xml:space="preserve"> OP5&amp;~OP4&amp; OP3&amp;~OP2&amp; OP1&amp; OP0</t>
  </si>
  <si>
    <t>RegD_src</t>
  </si>
  <si>
    <t>DMWr</t>
  </si>
  <si>
    <t>ALUB_SRC</t>
  </si>
  <si>
    <t>RFWrite</t>
  </si>
  <si>
    <t>SigneExt</t>
  </si>
  <si>
    <t>RegA3_src</t>
  </si>
  <si>
    <t>Beq</t>
  </si>
  <si>
    <t>JMP</t>
  </si>
  <si>
    <t>SLT</t>
  </si>
  <si>
    <t>~OP5&amp;~OP4&amp;~OP3&amp;~OP2&amp;~OP1&amp;~OP0&amp; F5&amp;~F4&amp; F3&amp; ~F2&amp; F1&amp;~F0</t>
  </si>
  <si>
    <t>编号</t>
  </si>
  <si>
    <t>MIPS32 指令</t>
  </si>
  <si>
    <t>RTL 功能描述</t>
  </si>
  <si>
    <t>指令格式</t>
  </si>
  <si>
    <t>寻址方式特点</t>
  </si>
  <si>
    <t>slt rd,rs,rt</t>
  </si>
  <si>
    <t>R[rd]=R[rs]&lt;R[rt]?1:0</t>
  </si>
  <si>
    <t>R型</t>
  </si>
  <si>
    <t>寄存器寻址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</si>
  <si>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dd rd,rs,rt</t>
    </r>
  </si>
  <si>
    <t>R[rd]=R[rs]+R[rt]</t>
  </si>
  <si>
    <t>sub rd,rs,rt</t>
  </si>
  <si>
    <t>R[rd]=R[rs]-R[rt]</t>
  </si>
  <si>
    <t>lw rt,imm(rs)</t>
  </si>
  <si>
    <r>
      <rPr>
        <sz val="11"/>
        <color rgb="FFFF0000"/>
        <rFont val="Segoe UI Black"/>
        <charset val="134"/>
      </rPr>
      <t>R[rt]</t>
    </r>
    <r>
      <rPr>
        <sz val="11"/>
        <color rgb="FFFF0000"/>
        <rFont val="宋体"/>
        <charset val="134"/>
      </rPr>
      <t>←</t>
    </r>
    <r>
      <rPr>
        <sz val="11"/>
        <color rgb="FFFF0000"/>
        <rFont val="Segoe UI Black"/>
        <charset val="134"/>
      </rPr>
      <t>M[R[rs]+imm]</t>
    </r>
  </si>
  <si>
    <t>I型</t>
  </si>
  <si>
    <t>基址寻址</t>
  </si>
  <si>
    <t>sw rt,imm(rs)</t>
  </si>
  <si>
    <r>
      <rPr>
        <sz val="11"/>
        <color rgb="FFFF0000"/>
        <rFont val="Segoe UI Black"/>
        <charset val="134"/>
      </rPr>
      <t>M[R[rs]+imm]</t>
    </r>
    <r>
      <rPr>
        <sz val="11"/>
        <color rgb="FFFF0000"/>
        <rFont val="宋体"/>
        <charset val="134"/>
      </rPr>
      <t>←</t>
    </r>
    <r>
      <rPr>
        <sz val="11"/>
        <color rgb="FFFF0000"/>
        <rFont val="Segoe UI Black"/>
        <charset val="134"/>
      </rPr>
      <t>R[rt]</t>
    </r>
  </si>
  <si>
    <t>ori rt,rs,imm</t>
  </si>
  <si>
    <t>R[rt]=R[rs]|ZeroExt[imm]</t>
  </si>
  <si>
    <t>立即数寻址</t>
  </si>
  <si>
    <t>beq rs,rt,imm</t>
  </si>
  <si>
    <t>if(R[rs]==R[rt])PC=PC+4+imm&lt;&lt;2</t>
  </si>
  <si>
    <t>jal JumpAddr</t>
  </si>
  <si>
    <t>R[31]=PC+4;PC=JumpAddr</t>
  </si>
  <si>
    <t>J型</t>
  </si>
  <si>
    <t>伪直接寻址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</si>
</sst>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10"/>
      <color theme="1"/>
      <name val="微软雅黑"/>
      <charset val="134"/>
    </font>
    <font>
      <sz val="10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0000FF"/>
      <name val="Segoe UI Black"/>
      <charset val="134"/>
    </font>
    <font>
      <sz val="11"/>
      <color rgb="FFFF0000"/>
      <name val="Segoe UI Black"/>
      <charset val="134"/>
    </font>
    <font>
      <sz val="11"/>
      <color theme="1"/>
      <name val="Segoe UI"/>
      <charset val="134"/>
    </font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  <font>
      <sz val="11"/>
      <color rgb="FFFF0000"/>
      <name val="宋体"/>
      <charset val="134"/>
    </font>
    <font>
      <b/>
      <sz val="10"/>
      <color theme="4" tint="-0.249977111117893"/>
      <name val="仿宋"/>
      <charset val="134"/>
    </font>
    <font>
      <b/>
      <sz val="10"/>
      <color theme="4" tint="-0.249977111117893"/>
      <name val="Segoe UI Black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5" fillId="5" borderId="2" xfId="0" applyNumberFormat="1" applyFont="1" applyFill="1" applyBorder="1" applyAlignment="1">
      <alignment horizontal="center"/>
    </xf>
    <xf numFmtId="0" fontId="6" fillId="5" borderId="2" xfId="0" applyNumberFormat="1" applyFont="1" applyFill="1" applyBorder="1" applyAlignment="1">
      <alignment horizontal="center"/>
    </xf>
    <xf numFmtId="0" fontId="7" fillId="5" borderId="2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shrinkToFit="1"/>
    </xf>
    <xf numFmtId="0" fontId="8" fillId="5" borderId="2" xfId="0" applyFont="1" applyFill="1" applyBorder="1" applyAlignment="1">
      <alignment horizontal="center"/>
    </xf>
    <xf numFmtId="0" fontId="5" fillId="6" borderId="2" xfId="0" applyNumberFormat="1" applyFont="1" applyFill="1" applyBorder="1" applyAlignment="1">
      <alignment horizontal="center"/>
    </xf>
    <xf numFmtId="0" fontId="6" fillId="6" borderId="2" xfId="0" applyNumberFormat="1" applyFont="1" applyFill="1" applyBorder="1" applyAlignment="1">
      <alignment horizontal="center"/>
    </xf>
    <xf numFmtId="0" fontId="7" fillId="6" borderId="2" xfId="0" applyNumberFormat="1" applyFont="1" applyFill="1" applyBorder="1" applyAlignment="1">
      <alignment horizontal="center"/>
    </xf>
    <xf numFmtId="0" fontId="8" fillId="5" borderId="2" xfId="0" applyNumberFormat="1" applyFont="1" applyFill="1" applyBorder="1" applyAlignment="1">
      <alignment horizontal="center"/>
    </xf>
    <xf numFmtId="0" fontId="5" fillId="0" borderId="2" xfId="0" applyNumberFormat="1" applyFont="1" applyFill="1" applyBorder="1" applyAlignment="1">
      <alignment horizontal="center" shrinkToFit="1"/>
    </xf>
    <xf numFmtId="0" fontId="5" fillId="6" borderId="3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shrinkToFit="1"/>
    </xf>
    <xf numFmtId="0" fontId="0" fillId="0" borderId="4" xfId="0" applyBorder="1">
      <alignment vertical="center"/>
    </xf>
    <xf numFmtId="0" fontId="7" fillId="6" borderId="4" xfId="0" applyNumberFormat="1" applyFont="1" applyFill="1" applyBorder="1" applyAlignment="1">
      <alignment horizontal="center"/>
    </xf>
    <xf numFmtId="0" fontId="9" fillId="0" borderId="4" xfId="0" applyFont="1" applyBorder="1">
      <alignment vertical="center"/>
    </xf>
    <xf numFmtId="0" fontId="9" fillId="0" borderId="4" xfId="0" applyFont="1" applyFill="1" applyBorder="1">
      <alignment vertical="center"/>
    </xf>
    <xf numFmtId="0" fontId="10" fillId="0" borderId="4" xfId="0" applyFont="1" applyBorder="1">
      <alignment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11" fillId="0" borderId="5" xfId="0" applyNumberFormat="1" applyFont="1" applyBorder="1" applyAlignment="1">
      <alignment horizontal="center" vertical="top" wrapText="1"/>
    </xf>
    <xf numFmtId="49" fontId="12" fillId="0" borderId="6" xfId="0" applyNumberFormat="1" applyFont="1" applyBorder="1" applyAlignment="1">
      <alignment horizontal="center" vertical="top" wrapText="1"/>
    </xf>
    <xf numFmtId="49" fontId="13" fillId="0" borderId="0" xfId="0" applyNumberFormat="1" applyFont="1" applyAlignment="1">
      <alignment horizontal="justify" vertical="top" wrapText="1" indent="2"/>
    </xf>
    <xf numFmtId="49" fontId="0" fillId="0" borderId="0" xfId="0" applyNumberFormat="1" applyAlignment="1">
      <alignment horizontal="center" vertical="center"/>
    </xf>
    <xf numFmtId="0" fontId="11" fillId="0" borderId="4" xfId="0" applyFont="1" applyBorder="1" applyAlignment="1">
      <alignment horizontal="justify" vertical="top" wrapText="1" indent="2"/>
    </xf>
    <xf numFmtId="49" fontId="12" fillId="0" borderId="7" xfId="0" applyNumberFormat="1" applyFont="1" applyBorder="1" applyAlignment="1">
      <alignment horizontal="justify" vertical="top" wrapText="1" indent="2"/>
    </xf>
    <xf numFmtId="0" fontId="12" fillId="0" borderId="7" xfId="0" applyFont="1" applyBorder="1" applyAlignment="1">
      <alignment horizontal="justify" vertical="top" wrapText="1" indent="2"/>
    </xf>
    <xf numFmtId="49" fontId="14" fillId="0" borderId="0" xfId="0" applyNumberFormat="1" applyFont="1" applyAlignment="1">
      <alignment horizontal="justify" vertical="top" wrapText="1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lrz20190715\&#35745;&#31639;&#26426;&#32452;&#25104;&#21407;&#29702;\&#32452;&#25104;&#21407;&#29702;2021&#24180;\&#21326;&#31185;\&#33258;&#24049;&#27979;&#35797;\&#21333;&#21608;&#26399;&#30828;&#24067;&#32447;&#25511;&#21046;&#22120;&#34920;&#36798;&#24335;&#33258;&#21160;&#29983;&#25104;(2019-7-5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真值表"/>
      <sheetName val="控制信号表达式生成"/>
      <sheetName val="运算器规格"/>
      <sheetName val="控制信号产生条件"/>
    </sheetNames>
    <sheetDataSet>
      <sheetData sheetId="0">
        <row r="1">
          <cell r="S1" t="str">
            <v>S2</v>
          </cell>
          <cell r="T1" t="str">
            <v>S1</v>
          </cell>
          <cell r="U1" t="str">
            <v>S0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15" sqref="B15"/>
    </sheetView>
  </sheetViews>
  <sheetFormatPr defaultColWidth="8.88888888888889" defaultRowHeight="14.4" outlineLevelCol="6"/>
  <cols>
    <col min="1" max="1" width="11.6666666666667" style="26" customWidth="1"/>
    <col min="2" max="2" width="37.5555555555556" customWidth="1"/>
    <col min="3" max="3" width="28.2222222222222" style="26" customWidth="1"/>
    <col min="4" max="4" width="10.2222222222222" style="26" customWidth="1"/>
    <col min="5" max="17" width="8.88888888888889" style="26"/>
  </cols>
  <sheetData>
    <row r="1" ht="16.35" spans="1:7">
      <c r="A1" s="27" t="s">
        <v>0</v>
      </c>
      <c r="B1" s="28"/>
      <c r="C1" s="29"/>
      <c r="D1" s="30"/>
      <c r="E1" s="30"/>
      <c r="F1" s="30"/>
      <c r="G1" s="30"/>
    </row>
    <row r="2" ht="16.35" spans="1:3">
      <c r="A2" s="31" t="s">
        <v>1</v>
      </c>
      <c r="B2" s="31" t="s">
        <v>1</v>
      </c>
      <c r="C2" s="29"/>
    </row>
    <row r="3" ht="16.35" spans="1:3">
      <c r="A3" s="32" t="s">
        <v>2</v>
      </c>
      <c r="B3" s="33" t="s">
        <v>3</v>
      </c>
      <c r="C3" s="34"/>
    </row>
    <row r="4" ht="16.35" spans="1:3">
      <c r="A4" s="32" t="s">
        <v>4</v>
      </c>
      <c r="B4" s="33" t="s">
        <v>5</v>
      </c>
      <c r="C4" s="34"/>
    </row>
    <row r="5" ht="16.35" spans="1:3">
      <c r="A5" s="32" t="s">
        <v>6</v>
      </c>
      <c r="B5" s="33" t="s">
        <v>7</v>
      </c>
      <c r="C5" s="34"/>
    </row>
    <row r="6" ht="16.35" spans="1:3">
      <c r="A6" s="32" t="s">
        <v>8</v>
      </c>
      <c r="B6" s="33" t="s">
        <v>9</v>
      </c>
      <c r="C6" s="34"/>
    </row>
    <row r="7" ht="16.05" customHeight="1" spans="1:3">
      <c r="A7" s="32">
        <v>100</v>
      </c>
      <c r="B7" s="33" t="s">
        <v>10</v>
      </c>
      <c r="C7" s="34"/>
    </row>
    <row r="8" ht="16.35" spans="1:3">
      <c r="A8" s="32">
        <v>101</v>
      </c>
      <c r="B8" s="33" t="s">
        <v>11</v>
      </c>
      <c r="C8" s="34"/>
    </row>
    <row r="9" ht="22.05" customHeight="1" spans="1:3">
      <c r="A9" s="32">
        <v>110</v>
      </c>
      <c r="B9" s="33" t="s">
        <v>12</v>
      </c>
      <c r="C9" s="34"/>
    </row>
    <row r="10" ht="16.35" spans="1:3">
      <c r="A10" s="32">
        <v>111</v>
      </c>
      <c r="B10" s="33" t="s">
        <v>13</v>
      </c>
      <c r="C10" s="34"/>
    </row>
  </sheetData>
  <mergeCells count="3">
    <mergeCell ref="A1:B1"/>
    <mergeCell ref="D1:E1"/>
    <mergeCell ref="F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zoomScale="155" zoomScaleNormal="155" workbookViewId="0">
      <selection activeCell="E20" sqref="E20"/>
    </sheetView>
  </sheetViews>
  <sheetFormatPr defaultColWidth="8.88888888888889" defaultRowHeight="14.4"/>
  <cols>
    <col min="4" max="4" width="66" customWidth="1"/>
    <col min="8" max="8" width="103.666666666667" customWidth="1"/>
  </cols>
  <sheetData>
    <row r="1" ht="26.4" spans="1:7">
      <c r="A1" s="1" t="s">
        <v>14</v>
      </c>
      <c r="B1" s="2" t="s">
        <v>15</v>
      </c>
      <c r="C1" s="2" t="s">
        <v>16</v>
      </c>
      <c r="D1" s="3" t="s">
        <v>17</v>
      </c>
      <c r="E1" s="23" t="str">
        <f>[1]真值表!S1</f>
        <v>S2</v>
      </c>
      <c r="F1" s="23" t="str">
        <f>[1]真值表!T1</f>
        <v>S1</v>
      </c>
      <c r="G1" s="24" t="str">
        <f>[1]真值表!U1</f>
        <v>S0</v>
      </c>
    </row>
    <row r="2" ht="16.8" spans="1:7">
      <c r="A2" s="6" t="s">
        <v>18</v>
      </c>
      <c r="B2" s="7">
        <v>0</v>
      </c>
      <c r="C2" s="8">
        <v>32</v>
      </c>
      <c r="D2" s="9" t="s">
        <v>19</v>
      </c>
      <c r="E2" s="10"/>
      <c r="F2" s="10"/>
      <c r="G2" s="10"/>
    </row>
    <row r="3" ht="16.8" spans="1:7">
      <c r="A3" s="11" t="s">
        <v>20</v>
      </c>
      <c r="B3" s="12">
        <v>0</v>
      </c>
      <c r="C3" s="13">
        <v>33</v>
      </c>
      <c r="D3" s="9" t="s">
        <v>21</v>
      </c>
      <c r="E3" s="10"/>
      <c r="F3" s="10"/>
      <c r="G3" s="10"/>
    </row>
    <row r="4" ht="16.8" spans="1:7">
      <c r="A4" s="6" t="s">
        <v>22</v>
      </c>
      <c r="B4" s="7">
        <v>0</v>
      </c>
      <c r="C4" s="8">
        <v>34</v>
      </c>
      <c r="D4" s="9" t="s">
        <v>23</v>
      </c>
      <c r="E4" s="10"/>
      <c r="F4" s="10"/>
      <c r="G4" s="10"/>
    </row>
    <row r="5" ht="16.8" spans="1:7">
      <c r="A5" s="11" t="s">
        <v>24</v>
      </c>
      <c r="B5" s="12">
        <v>0</v>
      </c>
      <c r="C5" s="13">
        <v>36</v>
      </c>
      <c r="D5" s="9" t="s">
        <v>25</v>
      </c>
      <c r="E5" s="10"/>
      <c r="F5" s="10"/>
      <c r="G5" s="10"/>
    </row>
    <row r="6" ht="16.8" spans="1:7">
      <c r="A6" s="6" t="s">
        <v>26</v>
      </c>
      <c r="B6" s="7">
        <v>0</v>
      </c>
      <c r="C6" s="8">
        <v>37</v>
      </c>
      <c r="D6" s="9" t="s">
        <v>27</v>
      </c>
      <c r="E6" s="10"/>
      <c r="F6" s="10"/>
      <c r="G6" s="10"/>
    </row>
    <row r="7" ht="16.8" spans="1:7">
      <c r="A7" s="11" t="s">
        <v>28</v>
      </c>
      <c r="B7" s="12">
        <v>0</v>
      </c>
      <c r="C7" s="13">
        <v>38</v>
      </c>
      <c r="D7" s="9" t="s">
        <v>29</v>
      </c>
      <c r="E7" s="10"/>
      <c r="F7" s="10"/>
      <c r="G7" s="10"/>
    </row>
    <row r="8" ht="16.8" spans="1:7">
      <c r="A8" s="11" t="s">
        <v>30</v>
      </c>
      <c r="B8" s="12">
        <v>0</v>
      </c>
      <c r="C8" s="13">
        <v>43</v>
      </c>
      <c r="D8" s="9" t="s">
        <v>31</v>
      </c>
      <c r="E8" s="10"/>
      <c r="F8" s="10"/>
      <c r="G8" s="10"/>
    </row>
    <row r="9" ht="16.8" spans="1:7">
      <c r="A9" s="6" t="s">
        <v>32</v>
      </c>
      <c r="B9" s="7">
        <v>2</v>
      </c>
      <c r="C9" s="8" t="s">
        <v>33</v>
      </c>
      <c r="D9" s="9" t="s">
        <v>34</v>
      </c>
      <c r="E9" s="10"/>
      <c r="F9" s="10"/>
      <c r="G9" s="10"/>
    </row>
    <row r="10" ht="16.8" spans="1:7">
      <c r="A10" s="11" t="s">
        <v>35</v>
      </c>
      <c r="B10" s="12">
        <v>3</v>
      </c>
      <c r="C10" s="13" t="s">
        <v>33</v>
      </c>
      <c r="D10" s="9" t="s">
        <v>36</v>
      </c>
      <c r="E10" s="10"/>
      <c r="F10" s="10"/>
      <c r="G10" s="10"/>
    </row>
    <row r="11" ht="16.8" spans="1:7">
      <c r="A11" s="6" t="s">
        <v>37</v>
      </c>
      <c r="B11" s="7">
        <v>4</v>
      </c>
      <c r="C11" s="8" t="s">
        <v>33</v>
      </c>
      <c r="D11" s="9" t="s">
        <v>38</v>
      </c>
      <c r="E11" s="10"/>
      <c r="F11" s="10"/>
      <c r="G11" s="10"/>
    </row>
    <row r="12" ht="16.8" spans="1:7">
      <c r="A12" s="11" t="s">
        <v>39</v>
      </c>
      <c r="B12" s="12">
        <v>5</v>
      </c>
      <c r="C12" s="13" t="s">
        <v>33</v>
      </c>
      <c r="D12" s="9" t="s">
        <v>40</v>
      </c>
      <c r="E12" s="10"/>
      <c r="F12" s="10"/>
      <c r="G12" s="10"/>
    </row>
    <row r="13" ht="16.8" spans="1:7">
      <c r="A13" s="6" t="s">
        <v>41</v>
      </c>
      <c r="B13" s="7">
        <v>8</v>
      </c>
      <c r="C13" s="8" t="s">
        <v>33</v>
      </c>
      <c r="D13" s="9" t="s">
        <v>42</v>
      </c>
      <c r="E13" s="10"/>
      <c r="F13" s="10"/>
      <c r="G13" s="10"/>
    </row>
    <row r="14" ht="16.8" spans="1:7">
      <c r="A14" s="11" t="s">
        <v>43</v>
      </c>
      <c r="B14" s="12">
        <v>12</v>
      </c>
      <c r="C14" s="13" t="s">
        <v>33</v>
      </c>
      <c r="D14" s="9" t="s">
        <v>44</v>
      </c>
      <c r="E14" s="10"/>
      <c r="F14" s="10"/>
      <c r="G14" s="10"/>
    </row>
    <row r="15" ht="16.8" spans="1:7">
      <c r="A15" s="11" t="s">
        <v>45</v>
      </c>
      <c r="B15" s="12">
        <v>13</v>
      </c>
      <c r="C15" s="13" t="s">
        <v>33</v>
      </c>
      <c r="D15" s="9" t="s">
        <v>46</v>
      </c>
      <c r="E15" s="10"/>
      <c r="F15" s="10"/>
      <c r="G15" s="10"/>
    </row>
    <row r="16" ht="16.8" spans="1:7">
      <c r="A16" s="11" t="s">
        <v>47</v>
      </c>
      <c r="B16" s="12">
        <v>14</v>
      </c>
      <c r="C16" s="13" t="s">
        <v>33</v>
      </c>
      <c r="D16" s="9" t="s">
        <v>48</v>
      </c>
      <c r="E16" s="10"/>
      <c r="F16" s="10"/>
      <c r="G16" s="10"/>
    </row>
    <row r="17" ht="16.8" spans="1:15">
      <c r="A17" s="11" t="s">
        <v>49</v>
      </c>
      <c r="B17" s="12">
        <v>35</v>
      </c>
      <c r="C17" s="13" t="s">
        <v>33</v>
      </c>
      <c r="D17" s="15" t="s">
        <v>50</v>
      </c>
      <c r="E17" s="14"/>
      <c r="F17" s="14"/>
      <c r="G17" s="14"/>
      <c r="H17" s="25"/>
      <c r="I17" s="25" t="s">
        <v>51</v>
      </c>
      <c r="J17" s="25" t="s">
        <v>51</v>
      </c>
      <c r="K17" s="25" t="s">
        <v>51</v>
      </c>
      <c r="L17" s="25" t="s">
        <v>51</v>
      </c>
      <c r="M17" s="25" t="s">
        <v>51</v>
      </c>
      <c r="N17" s="25" t="s">
        <v>51</v>
      </c>
      <c r="O17" s="25" t="s">
        <v>50</v>
      </c>
    </row>
    <row r="18" ht="16.8" spans="1:15">
      <c r="A18" s="11" t="s">
        <v>52</v>
      </c>
      <c r="B18" s="12">
        <v>43</v>
      </c>
      <c r="C18" s="13" t="s">
        <v>33</v>
      </c>
      <c r="D18" s="15" t="s">
        <v>53</v>
      </c>
      <c r="E18" s="14"/>
      <c r="F18" s="14"/>
      <c r="G18" s="14"/>
      <c r="H18" s="25"/>
      <c r="I18" s="25" t="s">
        <v>51</v>
      </c>
      <c r="J18" s="25" t="s">
        <v>51</v>
      </c>
      <c r="K18" s="25" t="s">
        <v>51</v>
      </c>
      <c r="L18" s="25" t="s">
        <v>51</v>
      </c>
      <c r="M18" s="25" t="s">
        <v>51</v>
      </c>
      <c r="N18" s="25" t="s">
        <v>51</v>
      </c>
      <c r="O18" s="25" t="s">
        <v>53</v>
      </c>
    </row>
    <row r="19" ht="16.8" spans="5:7">
      <c r="E19" s="9"/>
      <c r="F19" s="9"/>
      <c r="G19" s="9"/>
    </row>
  </sheetData>
  <protectedRanges>
    <protectedRange sqref="A1:C1" name="区域1"/>
  </protectedRanges>
  <conditionalFormatting sqref="D1">
    <cfRule type="cellIs" dxfId="0" priority="6" operator="equal">
      <formula>1</formula>
    </cfRule>
  </conditionalFormatting>
  <conditionalFormatting sqref="E16:G16">
    <cfRule type="cellIs" dxfId="0" priority="4" operator="equal">
      <formula>1</formula>
    </cfRule>
  </conditionalFormatting>
  <conditionalFormatting sqref="E17:G17">
    <cfRule type="cellIs" dxfId="0" priority="3" operator="equal">
      <formula>1</formula>
    </cfRule>
  </conditionalFormatting>
  <conditionalFormatting sqref="E18:G18">
    <cfRule type="cellIs" dxfId="0" priority="2" operator="equal">
      <formula>1</formula>
    </cfRule>
  </conditionalFormatting>
  <conditionalFormatting sqref="E1:G15">
    <cfRule type="cellIs" dxfId="0" priority="7" operator="equal">
      <formula>1</formula>
    </cfRule>
  </conditionalFormatting>
  <dataValidations count="6">
    <dataValidation allowBlank="1" showInputMessage="1" showErrorMessage="1" promptTitle="指令描述符" prompt="指令助记符" sqref="A1"/>
    <dataValidation allowBlank="1" showInputMessage="1" showErrorMessage="1" promptTitle="OpCode(10进制)" prompt="输入MIPS指令字的OpCode的十进制数，后续隐藏列会自动生成OpCode字段6位的二进制位" sqref="B1"/>
    <dataValidation allowBlank="1" showInputMessage="1" showErrorMessage="1" promptTitle="FUNC(十进制)" prompt="输入MIPS指令字的Func字段的10进制数，无Func字段填&quot;X&quot;，后续隐藏列会自动生成Func字段6位的二进制位" sqref="C1"/>
    <dataValidation allowBlank="1" showInputMessage="1" showErrorMessage="1" promptTitle="运算器功能选择端ALU_OP 的四位" prompt="S3 S2 S1 S0" sqref="E1:G1"/>
    <dataValidation allowBlank="1" showInputMessage="1" showErrorMessage="1" promptTitle="逻辑表达式最小项" prompt="当前指令Opcode以及Func字段的逻辑表达式" sqref="D1:D18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E2:G18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zoomScale="85" zoomScaleNormal="85" workbookViewId="0">
      <selection activeCell="D17" sqref="D17"/>
    </sheetView>
  </sheetViews>
  <sheetFormatPr defaultColWidth="8.88888888888889" defaultRowHeight="14.4"/>
  <cols>
    <col min="1" max="1" width="6.55555555555556" customWidth="1"/>
    <col min="2" max="2" width="14.4444444444444" hidden="1" customWidth="1"/>
    <col min="3" max="3" width="36.8888888888889" hidden="1" customWidth="1"/>
    <col min="4" max="4" width="104.666666666667" customWidth="1"/>
    <col min="5" max="5" width="21" customWidth="1"/>
    <col min="7" max="7" width="9.77777777777778" customWidth="1"/>
    <col min="8" max="8" width="11.1111111111111" customWidth="1"/>
    <col min="10" max="10" width="10.2222222222222" customWidth="1"/>
    <col min="11" max="11" width="7.88888888888889" customWidth="1"/>
  </cols>
  <sheetData>
    <row r="1" ht="26.4" spans="1:12">
      <c r="A1" s="1" t="s">
        <v>14</v>
      </c>
      <c r="B1" s="2" t="s">
        <v>15</v>
      </c>
      <c r="C1" s="2" t="s">
        <v>16</v>
      </c>
      <c r="D1" s="3" t="s">
        <v>17</v>
      </c>
      <c r="E1" s="4" t="s">
        <v>54</v>
      </c>
      <c r="F1" s="4" t="s">
        <v>55</v>
      </c>
      <c r="G1" s="5" t="s">
        <v>56</v>
      </c>
      <c r="H1" s="4" t="s">
        <v>57</v>
      </c>
      <c r="I1" s="4" t="s">
        <v>58</v>
      </c>
      <c r="J1" s="5" t="s">
        <v>59</v>
      </c>
      <c r="K1" s="4" t="s">
        <v>60</v>
      </c>
      <c r="L1" s="4" t="s">
        <v>61</v>
      </c>
    </row>
    <row r="2" ht="16.8" spans="1:12">
      <c r="A2" s="6" t="s">
        <v>18</v>
      </c>
      <c r="B2" s="7">
        <v>0</v>
      </c>
      <c r="C2" s="8">
        <v>32</v>
      </c>
      <c r="D2" s="9" t="s">
        <v>19</v>
      </c>
      <c r="E2" s="10"/>
      <c r="F2" s="10"/>
      <c r="G2" s="10"/>
      <c r="H2" s="10"/>
      <c r="I2" s="10"/>
      <c r="J2" s="10"/>
      <c r="K2" s="10"/>
      <c r="L2" s="10"/>
    </row>
    <row r="3" ht="16.8" spans="1:12">
      <c r="A3" s="11" t="s">
        <v>20</v>
      </c>
      <c r="B3" s="12">
        <v>0</v>
      </c>
      <c r="C3" s="13">
        <v>33</v>
      </c>
      <c r="D3" s="9" t="s">
        <v>21</v>
      </c>
      <c r="E3" s="10"/>
      <c r="F3" s="10"/>
      <c r="G3" s="10"/>
      <c r="H3" s="10"/>
      <c r="I3" s="10"/>
      <c r="J3" s="10"/>
      <c r="K3" s="10"/>
      <c r="L3" s="10"/>
    </row>
    <row r="4" ht="16.8" spans="1:12">
      <c r="A4" s="6" t="s">
        <v>22</v>
      </c>
      <c r="B4" s="7">
        <v>0</v>
      </c>
      <c r="C4" s="8">
        <v>34</v>
      </c>
      <c r="D4" s="9" t="s">
        <v>23</v>
      </c>
      <c r="E4" s="10"/>
      <c r="F4" s="10"/>
      <c r="G4" s="10"/>
      <c r="H4" s="10"/>
      <c r="I4" s="10"/>
      <c r="J4" s="10"/>
      <c r="K4" s="10"/>
      <c r="L4" s="10"/>
    </row>
    <row r="5" ht="16.8" spans="1:12">
      <c r="A5" s="11" t="s">
        <v>24</v>
      </c>
      <c r="B5" s="12">
        <v>0</v>
      </c>
      <c r="C5" s="13">
        <v>36</v>
      </c>
      <c r="D5" s="9" t="s">
        <v>25</v>
      </c>
      <c r="E5" s="10"/>
      <c r="F5" s="10"/>
      <c r="G5" s="10"/>
      <c r="H5" s="10"/>
      <c r="I5" s="10"/>
      <c r="J5" s="10"/>
      <c r="K5" s="10"/>
      <c r="L5" s="10"/>
    </row>
    <row r="6" ht="16.8" spans="1:12">
      <c r="A6" s="6" t="s">
        <v>26</v>
      </c>
      <c r="B6" s="7">
        <v>0</v>
      </c>
      <c r="C6" s="8">
        <v>37</v>
      </c>
      <c r="D6" s="9" t="s">
        <v>27</v>
      </c>
      <c r="E6" s="10"/>
      <c r="F6" s="10"/>
      <c r="G6" s="10"/>
      <c r="H6" s="10"/>
      <c r="I6" s="10"/>
      <c r="J6" s="10"/>
      <c r="K6" s="10"/>
      <c r="L6" s="10"/>
    </row>
    <row r="7" ht="16.8" spans="1:12">
      <c r="A7" s="11" t="s">
        <v>28</v>
      </c>
      <c r="B7" s="12">
        <v>0</v>
      </c>
      <c r="C7" s="13">
        <v>38</v>
      </c>
      <c r="D7" s="9" t="s">
        <v>29</v>
      </c>
      <c r="E7" s="10"/>
      <c r="F7" s="10"/>
      <c r="G7" s="10"/>
      <c r="H7" s="10"/>
      <c r="I7" s="10"/>
      <c r="J7" s="10"/>
      <c r="K7" s="10"/>
      <c r="L7" s="10"/>
    </row>
    <row r="8" ht="16.8" spans="1:12">
      <c r="A8" s="11" t="s">
        <v>30</v>
      </c>
      <c r="B8" s="12">
        <v>0</v>
      </c>
      <c r="C8" s="13">
        <v>43</v>
      </c>
      <c r="D8" s="9" t="s">
        <v>31</v>
      </c>
      <c r="E8" s="10"/>
      <c r="F8" s="10"/>
      <c r="G8" s="10"/>
      <c r="H8" s="10"/>
      <c r="I8" s="10"/>
      <c r="J8" s="10"/>
      <c r="K8" s="10"/>
      <c r="L8" s="10"/>
    </row>
    <row r="9" ht="16.8" spans="1:12">
      <c r="A9" s="6" t="s">
        <v>32</v>
      </c>
      <c r="B9" s="7">
        <v>2</v>
      </c>
      <c r="C9" s="8" t="s">
        <v>33</v>
      </c>
      <c r="D9" s="9" t="s">
        <v>34</v>
      </c>
      <c r="E9" s="10"/>
      <c r="F9" s="10"/>
      <c r="G9" s="10"/>
      <c r="H9" s="10"/>
      <c r="I9" s="10"/>
      <c r="J9" s="10"/>
      <c r="K9" s="10"/>
      <c r="L9" s="10"/>
    </row>
    <row r="10" ht="16.8" spans="1:12">
      <c r="A10" s="6" t="s">
        <v>37</v>
      </c>
      <c r="B10" s="7">
        <v>4</v>
      </c>
      <c r="C10" s="8" t="s">
        <v>33</v>
      </c>
      <c r="D10" s="9" t="s">
        <v>38</v>
      </c>
      <c r="E10" s="10"/>
      <c r="F10" s="10"/>
      <c r="G10" s="10"/>
      <c r="H10" s="10"/>
      <c r="I10" s="10"/>
      <c r="J10" s="10"/>
      <c r="K10" s="10"/>
      <c r="L10" s="10"/>
    </row>
    <row r="11" ht="16.8" spans="1:12">
      <c r="A11" s="6" t="s">
        <v>41</v>
      </c>
      <c r="B11" s="7">
        <v>8</v>
      </c>
      <c r="C11" s="8" t="s">
        <v>33</v>
      </c>
      <c r="D11" s="9" t="s">
        <v>42</v>
      </c>
      <c r="E11" s="10"/>
      <c r="F11" s="10"/>
      <c r="G11" s="10"/>
      <c r="H11" s="10"/>
      <c r="I11" s="10"/>
      <c r="J11" s="10"/>
      <c r="K11" s="10"/>
      <c r="L11" s="10"/>
    </row>
    <row r="12" ht="16.8" spans="1:12">
      <c r="A12" s="11" t="s">
        <v>43</v>
      </c>
      <c r="B12" s="12">
        <v>12</v>
      </c>
      <c r="C12" s="13" t="s">
        <v>33</v>
      </c>
      <c r="D12" s="9" t="s">
        <v>44</v>
      </c>
      <c r="E12" s="10"/>
      <c r="F12" s="10"/>
      <c r="G12" s="10"/>
      <c r="H12" s="10"/>
      <c r="I12" s="10"/>
      <c r="J12" s="10"/>
      <c r="K12" s="10"/>
      <c r="L12" s="10"/>
    </row>
    <row r="13" ht="16.8" spans="1:12">
      <c r="A13" s="11" t="s">
        <v>45</v>
      </c>
      <c r="B13" s="12">
        <v>13</v>
      </c>
      <c r="C13" s="13" t="s">
        <v>33</v>
      </c>
      <c r="D13" s="9" t="s">
        <v>46</v>
      </c>
      <c r="E13" s="10"/>
      <c r="F13" s="10"/>
      <c r="G13" s="10"/>
      <c r="H13" s="10"/>
      <c r="I13" s="10"/>
      <c r="J13" s="10"/>
      <c r="K13" s="10"/>
      <c r="L13" s="10"/>
    </row>
    <row r="14" ht="16.8" spans="1:12">
      <c r="A14" s="11" t="s">
        <v>47</v>
      </c>
      <c r="B14" s="12">
        <v>14</v>
      </c>
      <c r="C14" s="13" t="s">
        <v>33</v>
      </c>
      <c r="D14" s="9" t="s">
        <v>48</v>
      </c>
      <c r="E14" s="10"/>
      <c r="F14" s="10"/>
      <c r="G14" s="10"/>
      <c r="H14" s="14"/>
      <c r="I14" s="14"/>
      <c r="J14" s="14"/>
      <c r="K14" s="14"/>
      <c r="L14" s="14"/>
    </row>
    <row r="15" ht="16.8" spans="1:12">
      <c r="A15" s="11" t="s">
        <v>49</v>
      </c>
      <c r="B15" s="12">
        <v>35</v>
      </c>
      <c r="C15" s="13" t="s">
        <v>33</v>
      </c>
      <c r="D15" s="15" t="s">
        <v>50</v>
      </c>
      <c r="E15" s="14"/>
      <c r="F15" s="14"/>
      <c r="G15" s="14"/>
      <c r="H15" s="14"/>
      <c r="I15" s="14"/>
      <c r="J15" s="14"/>
      <c r="K15" s="14"/>
      <c r="L15" s="14"/>
    </row>
    <row r="16" ht="16.8" spans="1:12">
      <c r="A16" s="11" t="s">
        <v>52</v>
      </c>
      <c r="B16" s="12">
        <v>43</v>
      </c>
      <c r="C16" s="13" t="s">
        <v>33</v>
      </c>
      <c r="D16" s="15" t="s">
        <v>53</v>
      </c>
      <c r="E16" s="14"/>
      <c r="F16" s="14"/>
      <c r="G16" s="14"/>
      <c r="H16" s="10"/>
      <c r="I16" s="10"/>
      <c r="J16" s="10"/>
      <c r="K16" s="10"/>
      <c r="L16" s="10"/>
    </row>
    <row r="17" ht="17.55" spans="1:12">
      <c r="A17" s="16" t="s">
        <v>62</v>
      </c>
      <c r="D17" s="9" t="s">
        <v>63</v>
      </c>
      <c r="E17" s="17"/>
      <c r="F17" s="9"/>
      <c r="G17" s="9"/>
      <c r="H17" s="9"/>
      <c r="I17" s="9"/>
      <c r="J17" s="9"/>
      <c r="K17" s="9"/>
      <c r="L17" s="9"/>
    </row>
    <row r="18" ht="15.15" spans="1:5">
      <c r="A18" s="18" t="s">
        <v>64</v>
      </c>
      <c r="B18" s="18" t="s">
        <v>65</v>
      </c>
      <c r="C18" s="18" t="s">
        <v>66</v>
      </c>
      <c r="D18" s="18" t="s">
        <v>67</v>
      </c>
      <c r="E18" s="18" t="s">
        <v>68</v>
      </c>
    </row>
    <row r="19" ht="17.55" spans="1:5">
      <c r="A19" s="18">
        <v>1</v>
      </c>
      <c r="B19" s="18" t="s">
        <v>69</v>
      </c>
      <c r="C19" s="19" t="s">
        <v>70</v>
      </c>
      <c r="D19" s="20" t="s">
        <v>71</v>
      </c>
      <c r="E19" s="20" t="s">
        <v>72</v>
      </c>
    </row>
    <row r="20" ht="17.55" spans="1:5">
      <c r="A20" s="18">
        <v>2</v>
      </c>
      <c r="B20" s="20" t="s">
        <v>73</v>
      </c>
      <c r="C20" s="19" t="s">
        <v>74</v>
      </c>
      <c r="D20" s="20" t="s">
        <v>71</v>
      </c>
      <c r="E20" s="20" t="s">
        <v>72</v>
      </c>
    </row>
    <row r="21" ht="17.55" spans="1:5">
      <c r="A21" s="18">
        <v>3</v>
      </c>
      <c r="B21" s="21" t="s">
        <v>75</v>
      </c>
      <c r="C21" s="19" t="s">
        <v>76</v>
      </c>
      <c r="D21" s="20" t="s">
        <v>71</v>
      </c>
      <c r="E21" s="20" t="s">
        <v>72</v>
      </c>
    </row>
    <row r="22" ht="17.55" spans="1:5">
      <c r="A22" s="18">
        <v>4</v>
      </c>
      <c r="B22" s="20" t="s">
        <v>77</v>
      </c>
      <c r="C22" s="19" t="s">
        <v>78</v>
      </c>
      <c r="D22" s="22" t="s">
        <v>79</v>
      </c>
      <c r="E22" s="21" t="s">
        <v>80</v>
      </c>
    </row>
    <row r="23" ht="17.55" spans="1:5">
      <c r="A23" s="18">
        <v>5</v>
      </c>
      <c r="B23" s="20" t="s">
        <v>81</v>
      </c>
      <c r="C23" s="19" t="s">
        <v>82</v>
      </c>
      <c r="D23" s="22" t="s">
        <v>79</v>
      </c>
      <c r="E23" s="21" t="s">
        <v>80</v>
      </c>
    </row>
    <row r="24" ht="17.55" spans="1:5">
      <c r="A24" s="18">
        <v>6</v>
      </c>
      <c r="B24" s="20" t="s">
        <v>83</v>
      </c>
      <c r="C24" s="19" t="s">
        <v>84</v>
      </c>
      <c r="D24" s="22" t="s">
        <v>79</v>
      </c>
      <c r="E24" s="21" t="s">
        <v>85</v>
      </c>
    </row>
    <row r="25" ht="17.55" spans="1:5">
      <c r="A25" s="18">
        <v>7</v>
      </c>
      <c r="B25" s="20" t="s">
        <v>86</v>
      </c>
      <c r="C25" s="19" t="s">
        <v>87</v>
      </c>
      <c r="D25" s="22" t="s">
        <v>79</v>
      </c>
      <c r="E25" s="21" t="s">
        <v>85</v>
      </c>
    </row>
    <row r="26" ht="17.55" spans="1:5">
      <c r="A26" s="18">
        <v>8</v>
      </c>
      <c r="B26" s="20" t="s">
        <v>88</v>
      </c>
      <c r="C26" s="19" t="s">
        <v>89</v>
      </c>
      <c r="D26" s="20" t="s">
        <v>90</v>
      </c>
      <c r="E26" s="21" t="s">
        <v>91</v>
      </c>
    </row>
    <row r="27" ht="15.15" spans="1:5">
      <c r="A27" s="18"/>
      <c r="B27" s="18"/>
      <c r="C27" s="18"/>
      <c r="D27" s="18"/>
      <c r="E27" s="18"/>
    </row>
  </sheetData>
  <protectedRanges>
    <protectedRange sqref="A1:C1" name="区域1"/>
  </protectedRanges>
  <conditionalFormatting sqref="D1">
    <cfRule type="cellIs" dxfId="0" priority="15" operator="equal">
      <formula>1</formula>
    </cfRule>
  </conditionalFormatting>
  <conditionalFormatting sqref="H1:L1">
    <cfRule type="cellIs" dxfId="0" priority="1" operator="equal">
      <formula>1</formula>
    </cfRule>
  </conditionalFormatting>
  <conditionalFormatting sqref="H13:J13">
    <cfRule type="cellIs" dxfId="0" priority="7" operator="equal">
      <formula>1</formula>
    </cfRule>
  </conditionalFormatting>
  <conditionalFormatting sqref="K13:L13">
    <cfRule type="cellIs" dxfId="0" priority="6" operator="equal">
      <formula>1</formula>
    </cfRule>
  </conditionalFormatting>
  <conditionalFormatting sqref="E14:G14">
    <cfRule type="cellIs" dxfId="0" priority="14" operator="equal">
      <formula>1</formula>
    </cfRule>
  </conditionalFormatting>
  <conditionalFormatting sqref="H14:J14">
    <cfRule type="cellIs" dxfId="0" priority="5" operator="equal">
      <formula>1</formula>
    </cfRule>
  </conditionalFormatting>
  <conditionalFormatting sqref="K14:L14">
    <cfRule type="cellIs" dxfId="0" priority="4" operator="equal">
      <formula>1</formula>
    </cfRule>
  </conditionalFormatting>
  <conditionalFormatting sqref="E15:G15">
    <cfRule type="cellIs" dxfId="0" priority="13" operator="equal">
      <formula>1</formula>
    </cfRule>
  </conditionalFormatting>
  <conditionalFormatting sqref="H15:J15">
    <cfRule type="cellIs" dxfId="0" priority="3" operator="equal">
      <formula>1</formula>
    </cfRule>
  </conditionalFormatting>
  <conditionalFormatting sqref="K15:L15">
    <cfRule type="cellIs" dxfId="0" priority="2" operator="equal">
      <formula>1</formula>
    </cfRule>
  </conditionalFormatting>
  <conditionalFormatting sqref="E16:G16">
    <cfRule type="cellIs" dxfId="0" priority="12" operator="equal">
      <formula>1</formula>
    </cfRule>
  </conditionalFormatting>
  <conditionalFormatting sqref="H16:J16">
    <cfRule type="cellIs" dxfId="0" priority="9" operator="equal">
      <formula>1</formula>
    </cfRule>
  </conditionalFormatting>
  <conditionalFormatting sqref="K16:L16">
    <cfRule type="cellIs" dxfId="0" priority="8" operator="equal">
      <formula>1</formula>
    </cfRule>
  </conditionalFormatting>
  <conditionalFormatting sqref="E1:G13">
    <cfRule type="cellIs" dxfId="0" priority="16" operator="equal">
      <formula>1</formula>
    </cfRule>
  </conditionalFormatting>
  <conditionalFormatting sqref="H2:J12">
    <cfRule type="cellIs" dxfId="0" priority="11" operator="equal">
      <formula>1</formula>
    </cfRule>
  </conditionalFormatting>
  <conditionalFormatting sqref="K2:L12">
    <cfRule type="cellIs" dxfId="0" priority="10" operator="equal">
      <formula>1</formula>
    </cfRule>
  </conditionalFormatting>
  <dataValidations count="6">
    <dataValidation allowBlank="1" showInputMessage="1" showErrorMessage="1" promptTitle="指令描述符" prompt="指令助记符" sqref="A1"/>
    <dataValidation allowBlank="1" showInputMessage="1" showErrorMessage="1" promptTitle="OpCode(10进制)" prompt="输入MIPS指令字的OpCode的十进制数，后续隐藏列会自动生成OpCode字段6位的二进制位" sqref="B1"/>
    <dataValidation allowBlank="1" showInputMessage="1" showErrorMessage="1" promptTitle="FUNC(十进制)" prompt="输入MIPS指令字的Func字段的10进制数，无Func字段填&quot;X&quot;，后续隐藏列会自动生成Func字段6位的二进制位" sqref="C1"/>
    <dataValidation allowBlank="1" showInputMessage="1" showErrorMessage="1" promptTitle="运算器功能选择端ALU_OP 的四位" prompt="S3 S2 S1 S0" sqref="E1:G1"/>
    <dataValidation allowBlank="1" showInputMessage="1" showErrorMessage="1" promptTitle="逻辑表达式最小项" prompt="当前指令Opcode以及Func字段的逻辑表达式" sqref="D1:D17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E2:G16"/>
  </dataValidation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区域1" rangeCreator="" othersAccessPermission="edit"/>
  </rangeList>
  <rangeList sheetStid="3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运算器功能</vt:lpstr>
      <vt:lpstr>运算器控制信号模块输入与输出</vt:lpstr>
      <vt:lpstr>控制器模块输入与输出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lrz</dc:creator>
  <cp:lastModifiedBy>WPS_1640150435</cp:lastModifiedBy>
  <dcterms:created xsi:type="dcterms:W3CDTF">2021-11-18T08:51:00Z</dcterms:created>
  <dcterms:modified xsi:type="dcterms:W3CDTF">2024-12-19T07:53:39Z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940C3338B4414AC987BEA73D328F8140</vt:lpwstr>
  </property>
  <property fmtid="{D5CDD505-2E9C-101B-9397-08002B2CF9AE}" pid="3" name="KSOProductBuildVer">
    <vt:lpwstr>2052-12.1.0.19302</vt:lpwstr>
  </property>
</Properties>
</file>